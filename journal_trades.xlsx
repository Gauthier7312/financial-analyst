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📒 Journal Trades" sheetId="1" state="visible" r:id="rId1"/>
    <sheet name="💰 Dividendes" sheetId="2" state="visible" r:id="rId2"/>
    <sheet name="📈 Performance Mensuelle" sheetId="3" state="visible" r:id="rId3"/>
    <sheet name="🎯 Tableau de Bo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E8449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A3A5C"/>
      <sz val="10"/>
    </font>
    <font>
      <name val="Arial"/>
      <color rgb="000000FF"/>
      <sz val="10"/>
    </font>
    <font>
      <name val="Arial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2" customWidth="1" min="4" max="4"/>
    <col width="9" customWidth="1" min="5" max="5"/>
    <col width="7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2" customWidth="1" min="14" max="14"/>
    <col width="28" customWidth="1" min="15" max="15"/>
  </cols>
  <sheetData>
    <row r="1" ht="38" customHeight="1">
      <c r="A1" s="1" t="inlineStr">
        <is>
          <t>JOURNAL DE BORD DES TRADES — BRVM 2026</t>
        </is>
      </c>
    </row>
    <row r="2">
      <c r="A2" s="2" t="inlineStr">
        <is>
          <t>#</t>
        </is>
      </c>
      <c r="B2" s="2" t="inlineStr">
        <is>
          <t>Date</t>
        </is>
      </c>
      <c r="C2" s="2" t="inlineStr">
        <is>
          <t>Valeur</t>
        </is>
      </c>
      <c r="D2" s="2" t="inlineStr">
        <is>
          <t>Ticker</t>
        </is>
      </c>
      <c r="E2" s="2" t="inlineStr">
        <is>
          <t>Action</t>
        </is>
      </c>
      <c r="F2" s="2" t="inlineStr">
        <is>
          <t>Qté</t>
        </is>
      </c>
      <c r="G2" s="2" t="inlineStr">
        <is>
          <t>Prix unitaire</t>
        </is>
      </c>
      <c r="H2" s="2" t="inlineStr">
        <is>
          <t>Montant total</t>
        </is>
      </c>
      <c r="I2" s="2" t="inlineStr">
        <is>
          <t>Courtage (0.8%)</t>
        </is>
      </c>
      <c r="J2" s="2" t="inlineStr">
        <is>
          <t>Montant net</t>
        </is>
      </c>
      <c r="K2" s="2" t="inlineStr">
        <is>
          <t>Stop-loss</t>
        </is>
      </c>
      <c r="L2" s="2" t="inlineStr">
        <is>
          <t>Objectif CT</t>
        </is>
      </c>
      <c r="M2" s="2" t="inlineStr">
        <is>
          <t>Objectif MT</t>
        </is>
      </c>
      <c r="N2" s="2" t="inlineStr">
        <is>
          <t>Statut</t>
        </is>
      </c>
      <c r="O2" s="2" t="inlineStr">
        <is>
          <t>Notes</t>
        </is>
      </c>
    </row>
    <row r="3" ht="22" customHeight="1">
      <c r="A3" s="3" t="n">
        <v>1</v>
      </c>
      <c r="B3" s="3" t="inlineStr">
        <is>
          <t>À remplir</t>
        </is>
      </c>
      <c r="C3" s="4" t="inlineStr">
        <is>
          <t>SONATEL</t>
        </is>
      </c>
      <c r="D3" s="3" t="inlineStr">
        <is>
          <t>SNTS.sn</t>
        </is>
      </c>
      <c r="E3" s="5" t="inlineStr">
        <is>
          <t>ACHAT</t>
        </is>
      </c>
      <c r="F3" s="3" t="n">
        <v>7</v>
      </c>
      <c r="G3" s="3" t="n">
        <v>28400</v>
      </c>
      <c r="H3" s="3">
        <f>F3*G3</f>
        <v/>
      </c>
      <c r="I3" s="3">
        <f>H3*0.008</f>
        <v/>
      </c>
      <c r="J3" s="3">
        <f>H3+I3</f>
        <v/>
      </c>
      <c r="K3" s="3" t="n">
        <v>24140</v>
      </c>
      <c r="L3" s="3" t="n">
        <v>30672</v>
      </c>
      <c r="M3" s="3" t="n">
        <v>32660</v>
      </c>
      <c r="N3" s="4" t="inlineStr">
        <is>
          <t>⏳ Ouvert</t>
        </is>
      </c>
      <c r="O3" s="3" t="inlineStr">
        <is>
          <t>Tranche 1 DCA</t>
        </is>
      </c>
    </row>
    <row r="4" ht="22" customHeight="1">
      <c r="A4" s="3" t="n">
        <v>2</v>
      </c>
      <c r="B4" s="3" t="inlineStr">
        <is>
          <t>À remplir</t>
        </is>
      </c>
      <c r="C4" s="4" t="inlineStr">
        <is>
          <t>BOA CI</t>
        </is>
      </c>
      <c r="D4" s="3" t="inlineStr">
        <is>
          <t>BOAC.ci</t>
        </is>
      </c>
      <c r="E4" s="5" t="inlineStr">
        <is>
          <t>ACHAT</t>
        </is>
      </c>
      <c r="F4" s="3" t="n">
        <v>20</v>
      </c>
      <c r="G4" s="3" t="n">
        <v>8700</v>
      </c>
      <c r="H4" s="3">
        <f>F4*G4</f>
        <v/>
      </c>
      <c r="I4" s="3">
        <f>H4*0.008</f>
        <v/>
      </c>
      <c r="J4" s="3">
        <f>H4+I4</f>
        <v/>
      </c>
      <c r="K4" s="3" t="n">
        <v>7395</v>
      </c>
      <c r="L4" s="3" t="n">
        <v>9744</v>
      </c>
      <c r="M4" s="3" t="n">
        <v>10875</v>
      </c>
      <c r="N4" s="4" t="inlineStr">
        <is>
          <t>⏳ Ouvert</t>
        </is>
      </c>
      <c r="O4" s="3" t="inlineStr">
        <is>
          <t>Tranche 1 DCA</t>
        </is>
      </c>
    </row>
    <row r="5" ht="22" customHeight="1">
      <c r="A5" s="3" t="n">
        <v>3</v>
      </c>
      <c r="B5" s="3" t="inlineStr">
        <is>
          <t>À remplir</t>
        </is>
      </c>
      <c r="C5" s="4" t="inlineStr">
        <is>
          <t>TOTAL CI</t>
        </is>
      </c>
      <c r="D5" s="3" t="inlineStr">
        <is>
          <t>TTLC.ci</t>
        </is>
      </c>
      <c r="E5" s="5" t="inlineStr">
        <is>
          <t>ACHAT</t>
        </is>
      </c>
      <c r="F5" s="3" t="n">
        <v>42</v>
      </c>
      <c r="G5" s="3" t="n">
        <v>2975</v>
      </c>
      <c r="H5" s="3">
        <f>F5*G5</f>
        <v/>
      </c>
      <c r="I5" s="3">
        <f>H5*0.008</f>
        <v/>
      </c>
      <c r="J5" s="3">
        <f>H5+I5</f>
        <v/>
      </c>
      <c r="K5" s="3" t="n">
        <v>2529</v>
      </c>
      <c r="L5" s="3" t="n">
        <v>3272</v>
      </c>
      <c r="M5" s="3" t="n">
        <v>3570</v>
      </c>
      <c r="N5" s="4" t="inlineStr">
        <is>
          <t>⏳ Ouvert</t>
        </is>
      </c>
      <c r="O5" s="3" t="inlineStr">
        <is>
          <t>Tranche 2 DCA</t>
        </is>
      </c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20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1" ht="35" customHeight="1">
      <c r="A1" s="8" t="inlineStr">
        <is>
          <t>SUIVI DES DIVIDENDES REÇUS — 2026</t>
        </is>
      </c>
    </row>
    <row r="2">
      <c r="A2" s="9" t="inlineStr">
        <is>
          <t>Date détachement</t>
        </is>
      </c>
      <c r="B2" s="9" t="inlineStr">
        <is>
          <t>Date paiement</t>
        </is>
      </c>
      <c r="C2" s="9" t="inlineStr">
        <is>
          <t>Valeur</t>
        </is>
      </c>
      <c r="D2" s="9" t="inlineStr">
        <is>
          <t>Nb actions</t>
        </is>
      </c>
      <c r="E2" s="9" t="inlineStr">
        <is>
          <t>Dividende/action</t>
        </is>
      </c>
      <c r="F2" s="9" t="inlineStr">
        <is>
          <t>Montant brut</t>
        </is>
      </c>
      <c r="G2" s="9" t="inlineStr">
        <is>
          <t>Impôt (si applicable)</t>
        </is>
      </c>
      <c r="H2" s="9" t="inlineStr">
        <is>
          <t>Montant net reçu</t>
        </is>
      </c>
    </row>
    <row r="3" ht="22" customHeight="1">
      <c r="A3" s="3" t="inlineStr">
        <is>
          <t>21/04/2026</t>
        </is>
      </c>
      <c r="B3" s="3" t="inlineStr">
        <is>
          <t>~05/05/2026</t>
        </is>
      </c>
      <c r="C3" s="4" t="inlineStr">
        <is>
          <t>BOA BF</t>
        </is>
      </c>
      <c r="D3" s="3" t="inlineStr">
        <is>
          <t>À préciser</t>
        </is>
      </c>
      <c r="E3" s="3" t="n">
        <v>397</v>
      </c>
      <c r="F3" s="3" t="inlineStr"/>
      <c r="G3" s="3" t="n">
        <v>0</v>
      </c>
      <c r="H3" s="3" t="inlineStr"/>
    </row>
    <row r="4" ht="22" customHeight="1">
      <c r="A4" s="7" t="inlineStr">
        <is>
          <t>22/05/2026</t>
        </is>
      </c>
      <c r="B4" s="7" t="inlineStr">
        <is>
          <t>~05/06/2026</t>
        </is>
      </c>
      <c r="C4" s="10" t="inlineStr">
        <is>
          <t>SONATEL</t>
        </is>
      </c>
      <c r="D4" s="7" t="inlineStr">
        <is>
          <t>7</t>
        </is>
      </c>
      <c r="E4" s="7" t="n">
        <v>1740</v>
      </c>
      <c r="F4" s="7">
        <f>D4*E4</f>
        <v/>
      </c>
      <c r="G4" s="7" t="n">
        <v>0</v>
      </c>
      <c r="H4" s="7">
        <f>F4-G4</f>
        <v/>
      </c>
    </row>
    <row r="5" ht="22" customHeight="1">
      <c r="A5" s="3" t="inlineStr">
        <is>
          <t>28/05/2026</t>
        </is>
      </c>
      <c r="B5" s="3" t="inlineStr">
        <is>
          <t>~10/06/2026</t>
        </is>
      </c>
      <c r="C5" s="4" t="inlineStr">
        <is>
          <t>BOA SN</t>
        </is>
      </c>
      <c r="D5" s="3" t="inlineStr">
        <is>
          <t>À préciser</t>
        </is>
      </c>
      <c r="E5" s="3" t="n">
        <v>450</v>
      </c>
      <c r="F5" s="3" t="inlineStr"/>
      <c r="G5" s="3" t="n">
        <v>0</v>
      </c>
      <c r="H5" s="3" t="inlineStr"/>
    </row>
    <row r="6" ht="22" customHeight="1">
      <c r="A6" s="7" t="inlineStr">
        <is>
          <t>À préciser</t>
        </is>
      </c>
      <c r="B6" s="7" t="inlineStr">
        <is>
          <t>À préciser</t>
        </is>
      </c>
      <c r="C6" s="10" t="inlineStr">
        <is>
          <t>ORANGE CI</t>
        </is>
      </c>
      <c r="D6" s="7" t="inlineStr">
        <is>
          <t>À préciser</t>
        </is>
      </c>
      <c r="E6" s="7" t="n">
        <v>704</v>
      </c>
      <c r="F6" s="7" t="inlineStr"/>
      <c r="G6" s="7" t="n">
        <v>0</v>
      </c>
      <c r="H6" s="7" t="inlineStr"/>
    </row>
    <row r="7" ht="22" customHeight="1">
      <c r="A7" s="3" t="inlineStr">
        <is>
          <t>À préciser</t>
        </is>
      </c>
      <c r="B7" s="3" t="inlineStr">
        <is>
          <t>À préciser</t>
        </is>
      </c>
      <c r="C7" s="4" t="inlineStr">
        <is>
          <t>PALMCI</t>
        </is>
      </c>
      <c r="D7" s="3" t="inlineStr">
        <is>
          <t>À préciser</t>
        </is>
      </c>
      <c r="E7" s="3" t="n">
        <v>442</v>
      </c>
      <c r="F7" s="3" t="inlineStr"/>
      <c r="G7" s="3" t="n">
        <v>0</v>
      </c>
      <c r="H7" s="3" t="inlineStr"/>
    </row>
    <row r="8" ht="22" customHeight="1">
      <c r="A8" s="7" t="inlineStr">
        <is>
          <t>À préciser</t>
        </is>
      </c>
      <c r="B8" s="7" t="inlineStr">
        <is>
          <t>À préciser</t>
        </is>
      </c>
      <c r="C8" s="10" t="inlineStr">
        <is>
          <t>SAPH CI</t>
        </is>
      </c>
      <c r="D8" s="7" t="inlineStr">
        <is>
          <t>À préciser</t>
        </is>
      </c>
      <c r="E8" s="7" t="n">
        <v>430</v>
      </c>
      <c r="F8" s="7" t="inlineStr"/>
      <c r="G8" s="7" t="n">
        <v>0</v>
      </c>
      <c r="H8" s="7" t="inlineStr"/>
    </row>
    <row r="10">
      <c r="A10" s="11" t="inlineStr">
        <is>
          <t>TOTAL DIVIDENDES ATTENDUS 2026</t>
        </is>
      </c>
      <c r="H10" s="11">
        <f>SUM(H3:H9)</f>
        <v/>
      </c>
    </row>
  </sheetData>
  <mergeCells count="2">
    <mergeCell ref="A10:E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5" customHeight="1">
      <c r="A1" s="1" t="inlineStr">
        <is>
          <t>SUIVI DE PERFORMANCE MENSUELLE — 2026/2027</t>
        </is>
      </c>
    </row>
    <row r="2">
      <c r="A2" s="2" t="inlineStr">
        <is>
          <t>Mois</t>
        </is>
      </c>
      <c r="B2" s="2" t="inlineStr">
        <is>
          <t>BRVM Composite</t>
        </is>
      </c>
      <c r="C2" s="2" t="inlineStr">
        <is>
          <t>Var. Indice</t>
        </is>
      </c>
      <c r="D2" s="2" t="inlineStr">
        <is>
          <t>Valeur Portef.</t>
        </is>
      </c>
      <c r="E2" s="2" t="inlineStr">
        <is>
          <t>Var. Portef.</t>
        </is>
      </c>
      <c r="F2" s="2" t="inlineStr">
        <is>
          <t>Dividendes</t>
        </is>
      </c>
      <c r="G2" s="2" t="inlineStr">
        <is>
          <t>Portef. Total</t>
        </is>
      </c>
      <c r="H2" s="2" t="inlineStr">
        <is>
          <t>vs Indice (alpha)</t>
        </is>
      </c>
      <c r="I2" s="2" t="inlineStr">
        <is>
          <t>Trades du mois</t>
        </is>
      </c>
      <c r="J2" s="2" t="inlineStr">
        <is>
          <t>Notes</t>
        </is>
      </c>
    </row>
    <row r="3" ht="22" customHeight="1">
      <c r="A3" s="12" t="inlineStr">
        <is>
          <t>Mars 2026</t>
        </is>
      </c>
      <c r="B3" s="6" t="n">
        <v>406.18</v>
      </c>
      <c r="C3" s="6" t="inlineStr"/>
      <c r="D3" s="6" t="n">
        <v>500000</v>
      </c>
      <c r="E3" s="6" t="inlineStr"/>
      <c r="F3" s="6" t="inlineStr"/>
      <c r="G3" s="6" t="inlineStr"/>
      <c r="H3" s="6" t="inlineStr"/>
      <c r="I3" s="6" t="inlineStr"/>
      <c r="J3" s="6" t="inlineStr"/>
    </row>
    <row r="4" ht="22" customHeight="1">
      <c r="A4" s="10" t="inlineStr">
        <is>
          <t>Avr. 2026</t>
        </is>
      </c>
      <c r="B4" s="7" t="inlineStr"/>
      <c r="C4" s="7">
        <f>SI(B4&lt;&gt;0,(B4-B3)/B3,"")</f>
        <v/>
      </c>
      <c r="D4" s="7" t="inlineStr"/>
      <c r="E4" s="7">
        <f>SI(D4&lt;&gt;0,(D4-D3)/D3,"")</f>
        <v/>
      </c>
      <c r="F4" s="7" t="inlineStr"/>
      <c r="G4" s="7">
        <f>SI(D4&lt;&gt;"",D4+F4,"")</f>
        <v/>
      </c>
      <c r="H4" s="7">
        <f>SI(E4&lt;&gt;"",E4-C4,"")</f>
        <v/>
      </c>
      <c r="I4" s="7" t="inlineStr"/>
      <c r="J4" s="7" t="inlineStr"/>
    </row>
    <row r="5" ht="22" customHeight="1">
      <c r="A5" s="12" t="inlineStr">
        <is>
          <t>Mai 2026</t>
        </is>
      </c>
      <c r="B5" s="6" t="inlineStr"/>
      <c r="C5" s="6">
        <f>SI(B5&lt;&gt;0,(B5-B4)/B4,"")</f>
        <v/>
      </c>
      <c r="D5" s="6" t="inlineStr"/>
      <c r="E5" s="6">
        <f>SI(D5&lt;&gt;0,(D5-D4)/D4,"")</f>
        <v/>
      </c>
      <c r="F5" s="6" t="inlineStr"/>
      <c r="G5" s="6">
        <f>SI(D5&lt;&gt;"",D5+F5,"")</f>
        <v/>
      </c>
      <c r="H5" s="6">
        <f>SI(E5&lt;&gt;"",E5-C5,"")</f>
        <v/>
      </c>
      <c r="I5" s="6" t="inlineStr"/>
      <c r="J5" s="6" t="inlineStr"/>
    </row>
    <row r="6" ht="22" customHeight="1">
      <c r="A6" s="10" t="inlineStr">
        <is>
          <t>Juin 2026</t>
        </is>
      </c>
      <c r="B6" s="7" t="inlineStr"/>
      <c r="C6" s="7">
        <f>SI(B6&lt;&gt;0,(B6-B5)/B5,"")</f>
        <v/>
      </c>
      <c r="D6" s="7" t="inlineStr"/>
      <c r="E6" s="7">
        <f>SI(D6&lt;&gt;0,(D6-D5)/D5,"")</f>
        <v/>
      </c>
      <c r="F6" s="7" t="inlineStr"/>
      <c r="G6" s="7">
        <f>SI(D6&lt;&gt;"",D6+F6,"")</f>
        <v/>
      </c>
      <c r="H6" s="7">
        <f>SI(E6&lt;&gt;"",E6-C6,"")</f>
        <v/>
      </c>
      <c r="I6" s="7" t="inlineStr"/>
      <c r="J6" s="7" t="inlineStr"/>
    </row>
    <row r="7" ht="22" customHeight="1">
      <c r="A7" s="12" t="inlineStr">
        <is>
          <t>Juil. 2026</t>
        </is>
      </c>
      <c r="B7" s="6" t="inlineStr"/>
      <c r="C7" s="6">
        <f>SI(B7&lt;&gt;0,(B7-B6)/B6,"")</f>
        <v/>
      </c>
      <c r="D7" s="6" t="inlineStr"/>
      <c r="E7" s="6">
        <f>SI(D7&lt;&gt;0,(D7-D6)/D6,"")</f>
        <v/>
      </c>
      <c r="F7" s="6" t="inlineStr"/>
      <c r="G7" s="6">
        <f>SI(D7&lt;&gt;"",D7+F7,"")</f>
        <v/>
      </c>
      <c r="H7" s="6">
        <f>SI(E7&lt;&gt;"",E7-C7,"")</f>
        <v/>
      </c>
      <c r="I7" s="6" t="inlineStr"/>
      <c r="J7" s="6" t="inlineStr"/>
    </row>
    <row r="8" ht="22" customHeight="1">
      <c r="A8" s="10" t="inlineStr">
        <is>
          <t>Août 2026</t>
        </is>
      </c>
      <c r="B8" s="7" t="inlineStr"/>
      <c r="C8" s="7">
        <f>SI(B8&lt;&gt;0,(B8-B7)/B7,"")</f>
        <v/>
      </c>
      <c r="D8" s="7" t="inlineStr"/>
      <c r="E8" s="7">
        <f>SI(D8&lt;&gt;0,(D8-D7)/D7,"")</f>
        <v/>
      </c>
      <c r="F8" s="7" t="inlineStr"/>
      <c r="G8" s="7">
        <f>SI(D8&lt;&gt;"",D8+F8,"")</f>
        <v/>
      </c>
      <c r="H8" s="7">
        <f>SI(E8&lt;&gt;"",E8-C8,"")</f>
        <v/>
      </c>
      <c r="I8" s="7" t="inlineStr"/>
      <c r="J8" s="7" t="inlineStr"/>
    </row>
    <row r="9" ht="22" customHeight="1">
      <c r="A9" s="12" t="inlineStr">
        <is>
          <t>Sep. 2026</t>
        </is>
      </c>
      <c r="B9" s="6" t="inlineStr"/>
      <c r="C9" s="6">
        <f>SI(B9&lt;&gt;0,(B9-B8)/B8,"")</f>
        <v/>
      </c>
      <c r="D9" s="6" t="inlineStr"/>
      <c r="E9" s="6">
        <f>SI(D9&lt;&gt;0,(D9-D8)/D8,"")</f>
        <v/>
      </c>
      <c r="F9" s="6" t="inlineStr"/>
      <c r="G9" s="6">
        <f>SI(D9&lt;&gt;"",D9+F9,"")</f>
        <v/>
      </c>
      <c r="H9" s="6">
        <f>SI(E9&lt;&gt;"",E9-C9,"")</f>
        <v/>
      </c>
      <c r="I9" s="6" t="inlineStr"/>
      <c r="J9" s="6" t="inlineStr"/>
    </row>
    <row r="10" ht="22" customHeight="1">
      <c r="A10" s="10" t="inlineStr">
        <is>
          <t>Oct. 2026</t>
        </is>
      </c>
      <c r="B10" s="7" t="inlineStr"/>
      <c r="C10" s="7">
        <f>SI(B10&lt;&gt;0,(B10-B9)/B9,"")</f>
        <v/>
      </c>
      <c r="D10" s="7" t="inlineStr"/>
      <c r="E10" s="7">
        <f>SI(D10&lt;&gt;0,(D10-D9)/D9,"")</f>
        <v/>
      </c>
      <c r="F10" s="7" t="inlineStr"/>
      <c r="G10" s="7">
        <f>SI(D10&lt;&gt;"",D10+F10,"")</f>
        <v/>
      </c>
      <c r="H10" s="7">
        <f>SI(E10&lt;&gt;"",E10-C10,"")</f>
        <v/>
      </c>
      <c r="I10" s="7" t="inlineStr"/>
      <c r="J10" s="7" t="inlineStr"/>
    </row>
    <row r="11" ht="22" customHeight="1">
      <c r="A11" s="12" t="inlineStr">
        <is>
          <t>Nov. 2026</t>
        </is>
      </c>
      <c r="B11" s="6" t="inlineStr"/>
      <c r="C11" s="6">
        <f>SI(B11&lt;&gt;0,(B11-B10)/B10,"")</f>
        <v/>
      </c>
      <c r="D11" s="6" t="inlineStr"/>
      <c r="E11" s="6">
        <f>SI(D11&lt;&gt;0,(D11-D10)/D10,"")</f>
        <v/>
      </c>
      <c r="F11" s="6" t="inlineStr"/>
      <c r="G11" s="6">
        <f>SI(D11&lt;&gt;"",D11+F11,"")</f>
        <v/>
      </c>
      <c r="H11" s="6">
        <f>SI(E11&lt;&gt;"",E11-C11,"")</f>
        <v/>
      </c>
      <c r="I11" s="6" t="inlineStr"/>
      <c r="J11" s="6" t="inlineStr"/>
    </row>
    <row r="12" ht="22" customHeight="1">
      <c r="A12" s="10" t="inlineStr">
        <is>
          <t>Déc. 2026</t>
        </is>
      </c>
      <c r="B12" s="7" t="inlineStr"/>
      <c r="C12" s="7">
        <f>SI(B12&lt;&gt;0,(B12-B11)/B11,"")</f>
        <v/>
      </c>
      <c r="D12" s="7" t="inlineStr"/>
      <c r="E12" s="7">
        <f>SI(D12&lt;&gt;0,(D12-D11)/D11,"")</f>
        <v/>
      </c>
      <c r="F12" s="7" t="inlineStr"/>
      <c r="G12" s="7">
        <f>SI(D12&lt;&gt;"",D12+F12,"")</f>
        <v/>
      </c>
      <c r="H12" s="7">
        <f>SI(E12&lt;&gt;"",E12-C12,"")</f>
        <v/>
      </c>
      <c r="I12" s="7" t="inlineStr"/>
      <c r="J12" s="7" t="inlineStr"/>
    </row>
    <row r="13" ht="22" customHeight="1">
      <c r="A13" s="12" t="inlineStr">
        <is>
          <t>Jan. 2027</t>
        </is>
      </c>
      <c r="B13" s="6" t="inlineStr"/>
      <c r="C13" s="6">
        <f>SI(B13&lt;&gt;0,(B13-B12)/B12,"")</f>
        <v/>
      </c>
      <c r="D13" s="6" t="inlineStr"/>
      <c r="E13" s="6">
        <f>SI(D13&lt;&gt;0,(D13-D12)/D12,"")</f>
        <v/>
      </c>
      <c r="F13" s="6" t="inlineStr"/>
      <c r="G13" s="6">
        <f>SI(D13&lt;&gt;"",D13+F13,"")</f>
        <v/>
      </c>
      <c r="H13" s="6">
        <f>SI(E13&lt;&gt;"",E13-C13,"")</f>
        <v/>
      </c>
      <c r="I13" s="6" t="inlineStr"/>
      <c r="J13" s="6" t="inlineStr"/>
    </row>
    <row r="14" ht="22" customHeight="1">
      <c r="A14" s="10" t="inlineStr">
        <is>
          <t>Fév. 2027</t>
        </is>
      </c>
      <c r="B14" s="7" t="inlineStr"/>
      <c r="C14" s="7">
        <f>SI(B14&lt;&gt;0,(B14-B13)/B13,"")</f>
        <v/>
      </c>
      <c r="D14" s="7" t="inlineStr"/>
      <c r="E14" s="7">
        <f>SI(D14&lt;&gt;0,(D14-D13)/D13,"")</f>
        <v/>
      </c>
      <c r="F14" s="7" t="inlineStr"/>
      <c r="G14" s="7">
        <f>SI(D14&lt;&gt;"",D14+F14,"")</f>
        <v/>
      </c>
      <c r="H14" s="7">
        <f>SI(E14&lt;&gt;"",E14-C14,"")</f>
        <v/>
      </c>
      <c r="I14" s="7" t="inlineStr"/>
      <c r="J14" s="7" t="inlineStr"/>
    </row>
    <row r="15" ht="22" customHeight="1">
      <c r="A15" s="12" t="inlineStr">
        <is>
          <t>Mars 2027</t>
        </is>
      </c>
      <c r="B15" s="6" t="inlineStr"/>
      <c r="C15" s="6">
        <f>SI(B15&lt;&gt;0,(B15-B14)/B14,"")</f>
        <v/>
      </c>
      <c r="D15" s="6" t="inlineStr"/>
      <c r="E15" s="6">
        <f>SI(D15&lt;&gt;0,(D15-D14)/D14,"")</f>
        <v/>
      </c>
      <c r="F15" s="6" t="inlineStr"/>
      <c r="G15" s="6">
        <f>SI(D15&lt;&gt;"",D15+F15,"")</f>
        <v/>
      </c>
      <c r="H15" s="6">
        <f>SI(E15&lt;&gt;"",E15-C15,"")</f>
        <v/>
      </c>
      <c r="I15" s="6" t="inlineStr"/>
      <c r="J15" s="6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6" customWidth="1" min="4" max="4"/>
    <col width="18" customWidth="1" min="5" max="5"/>
    <col width="16" customWidth="1" min="6" max="6"/>
  </cols>
  <sheetData>
    <row r="1" ht="40" customHeight="1">
      <c r="A1" s="13" t="inlineStr">
        <is>
          <t>TABLEAU DE BORD — VUE D'ENSEMBLE</t>
        </is>
      </c>
    </row>
    <row r="3">
      <c r="A3" s="14" t="inlineStr">
        <is>
          <t>PORTEFEUILLE EN TEMPS RÉEL</t>
        </is>
      </c>
    </row>
    <row r="4">
      <c r="A4" s="9" t="inlineStr">
        <is>
          <t>Valeur</t>
        </is>
      </c>
      <c r="B4" s="9" t="inlineStr">
        <is>
          <t>Allocation</t>
        </is>
      </c>
      <c r="C4" s="9" t="inlineStr">
        <is>
          <t>Investi</t>
        </is>
      </c>
      <c r="D4" s="9" t="inlineStr">
        <is>
          <t>Cours actuel</t>
        </is>
      </c>
      <c r="E4" s="9" t="inlineStr">
        <is>
          <t>Valeur actuelle</t>
        </is>
      </c>
      <c r="F4" s="9" t="inlineStr">
        <is>
          <t>Gain/Perte %</t>
        </is>
      </c>
    </row>
    <row r="5" ht="24" customHeight="1">
      <c r="A5" s="4" t="inlineStr">
        <is>
          <t>SONATEL</t>
        </is>
      </c>
      <c r="B5" s="3" t="inlineStr">
        <is>
          <t>40%</t>
        </is>
      </c>
      <c r="C5" s="3" t="n">
        <v>200000</v>
      </c>
      <c r="D5" s="3" t="n">
        <v>28400</v>
      </c>
      <c r="E5" s="3" t="inlineStr">
        <is>
          <t>À mettre à jour</t>
        </is>
      </c>
      <c r="F5" s="3" t="inlineStr">
        <is>
          <t>À calculer</t>
        </is>
      </c>
    </row>
    <row r="6" ht="24" customHeight="1">
      <c r="A6" s="15" t="inlineStr">
        <is>
          <t>BOA CI</t>
        </is>
      </c>
      <c r="B6" s="16" t="inlineStr">
        <is>
          <t>35%</t>
        </is>
      </c>
      <c r="C6" s="16" t="n">
        <v>175000</v>
      </c>
      <c r="D6" s="16" t="n">
        <v>8700</v>
      </c>
      <c r="E6" s="16" t="inlineStr">
        <is>
          <t>À mettre à jour</t>
        </is>
      </c>
      <c r="F6" s="16" t="inlineStr">
        <is>
          <t>À calculer</t>
        </is>
      </c>
    </row>
    <row r="7" ht="24" customHeight="1">
      <c r="A7" s="17" t="inlineStr">
        <is>
          <t>TOTAL CI</t>
        </is>
      </c>
      <c r="B7" s="18" t="inlineStr">
        <is>
          <t>25%</t>
        </is>
      </c>
      <c r="C7" s="18" t="n">
        <v>125000</v>
      </c>
      <c r="D7" s="18" t="n">
        <v>2975</v>
      </c>
      <c r="E7" s="18" t="inlineStr">
        <is>
          <t>À mettre à jour</t>
        </is>
      </c>
      <c r="F7" s="18" t="inlineStr">
        <is>
          <t>À calculer</t>
        </is>
      </c>
    </row>
    <row r="10">
      <c r="A10" s="19" t="inlineStr">
        <is>
          <t>KPIs CLÉS</t>
        </is>
      </c>
    </row>
    <row r="11" ht="22" customHeight="1">
      <c r="A11" s="20" t="inlineStr">
        <is>
          <t>Capital total investi</t>
        </is>
      </c>
      <c r="B11" s="21" t="inlineStr">
        <is>
          <t>500 000 FCFA</t>
        </is>
      </c>
      <c r="C11" s="22" t="inlineStr">
        <is>
          <t>Hors frais de courtage</t>
        </is>
      </c>
    </row>
    <row r="12" ht="22" customHeight="1">
      <c r="A12" s="23" t="inlineStr">
        <is>
          <t>Courtage payé total</t>
        </is>
      </c>
      <c r="B12" s="24" t="inlineStr">
        <is>
          <t>~4 000 FCFA</t>
        </is>
      </c>
      <c r="C12" s="25" t="inlineStr">
        <is>
          <t>0.8% × 500K (estimation)</t>
        </is>
      </c>
    </row>
    <row r="13" ht="22" customHeight="1">
      <c r="A13" s="20" t="inlineStr">
        <is>
          <t>Conservation annuelle</t>
        </is>
      </c>
      <c r="B13" s="21" t="inlineStr">
        <is>
          <t>~1 250 FCFA</t>
        </is>
      </c>
      <c r="C13" s="22" t="inlineStr">
        <is>
          <t>0.25% × 500K</t>
        </is>
      </c>
    </row>
    <row r="14" ht="22" customHeight="1">
      <c r="A14" s="23" t="inlineStr">
        <is>
          <t>Tenue de compte annuelle</t>
        </is>
      </c>
      <c r="B14" s="24" t="inlineStr">
        <is>
          <t>10 000 FCFA</t>
        </is>
      </c>
      <c r="C14" s="25" t="inlineStr">
        <is>
          <t>2 500 × 4 trimestres</t>
        </is>
      </c>
    </row>
    <row r="15" ht="22" customHeight="1">
      <c r="A15" s="20" t="inlineStr">
        <is>
          <t>Coût total annuel</t>
        </is>
      </c>
      <c r="B15" s="21" t="inlineStr">
        <is>
          <t>~15 250 FCFA</t>
        </is>
      </c>
      <c r="C15" s="22">
        <f> 3.05% du capital</f>
        <v/>
      </c>
    </row>
    <row r="16" ht="22" customHeight="1">
      <c r="A16" s="23" t="inlineStr">
        <is>
          <t>Rendement min. à battre</t>
        </is>
      </c>
      <c r="B16" s="24" t="inlineStr">
        <is>
          <t>&gt; 3.05%</t>
        </is>
      </c>
      <c r="C16" s="25" t="inlineStr">
        <is>
          <t>Pour être profitable net de frais</t>
        </is>
      </c>
    </row>
    <row r="17" ht="22" customHeight="1">
      <c r="A17" s="20" t="inlineStr">
        <is>
          <t>Dividendes attendus 2026</t>
        </is>
      </c>
      <c r="B17" s="21" t="inlineStr">
        <is>
          <t>~12 000+ FCFA</t>
        </is>
      </c>
      <c r="C17" s="22" t="inlineStr">
        <is>
          <t>SONATEL seul = 12 180 FCFA (7 actions)</t>
        </is>
      </c>
    </row>
    <row r="18" ht="22" customHeight="1">
      <c r="A18" s="23" t="inlineStr">
        <is>
          <t>Objectif rendement annuel</t>
        </is>
      </c>
      <c r="B18" s="24" t="inlineStr">
        <is>
          <t>9–14%</t>
        </is>
      </c>
      <c r="C18" s="25" t="inlineStr">
        <is>
          <t>Base réaliste sur BRVM bull market</t>
        </is>
      </c>
    </row>
  </sheetData>
  <mergeCells count="19">
    <mergeCell ref="A17"/>
    <mergeCell ref="C17:F17"/>
    <mergeCell ref="A3:F3"/>
    <mergeCell ref="A13"/>
    <mergeCell ref="C13:F13"/>
    <mergeCell ref="C18:F18"/>
    <mergeCell ref="A15"/>
    <mergeCell ref="C15:F15"/>
    <mergeCell ref="A11"/>
    <mergeCell ref="C14:F14"/>
    <mergeCell ref="A10:F10"/>
    <mergeCell ref="A16"/>
    <mergeCell ref="C16:F16"/>
    <mergeCell ref="A12"/>
    <mergeCell ref="A18"/>
    <mergeCell ref="A1:F1"/>
    <mergeCell ref="C12:F12"/>
    <mergeCell ref="C11:F11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2026-03-28T18:57:57Z</dcterms:created>
  <dcterms:modified xsi:type="dcterms:W3CDTF">2026-03-28T18:57:57Z</dcterms:modified>
</cp:coreProperties>
</file>