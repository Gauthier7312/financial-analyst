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🧑 Profil Investisseur" sheetId="1" state="visible" r:id="rId1"/>
    <sheet name="🏦 Comparatif SGI" sheetId="2" state="visible" r:id="rId2"/>
    <sheet name="📊 Portefeuille" sheetId="3" state="visible" r:id="rId3"/>
    <sheet name="📈 Données Marché Live" sheetId="4" state="visible" r:id="rId4"/>
    <sheet name="🔭 Suivi &amp; Spéculation" sheetId="5" state="visible" r:id="rId5"/>
    <sheet name="📚 Lexique &amp; Mém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1A3A5C"/>
      <sz val="10"/>
    </font>
    <font>
      <name val="Arial"/>
      <color rgb="000000FF"/>
      <sz val="10"/>
    </font>
    <font>
      <name val="Arial"/>
      <color rgb="00555555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E74C3C"/>
      <sz val="10"/>
    </font>
    <font>
      <name val="Arial"/>
      <b val="1"/>
      <color rgb="001E8449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1A5276"/>
      <sz val="10"/>
    </font>
    <font>
      <name val="Arial"/>
      <b val="1"/>
      <color rgb="000000FF"/>
      <sz val="10"/>
    </font>
    <font>
      <name val="Arial"/>
      <color rgb="001E8449"/>
      <sz val="10"/>
    </font>
  </fonts>
  <fills count="18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1E8449"/>
      </patternFill>
    </fill>
    <fill>
      <patternFill patternType="solid">
        <fgColor rgb="001A3A5C"/>
      </patternFill>
    </fill>
    <fill>
      <patternFill patternType="solid">
        <fgColor rgb="00F2F3F4"/>
      </patternFill>
    </fill>
    <fill>
      <patternFill patternType="solid">
        <fgColor rgb="00FFFFFF"/>
      </patternFill>
    </fill>
    <fill>
      <patternFill patternType="solid">
        <fgColor rgb="009A7D0A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FDEBD0"/>
      </patternFill>
    </fill>
    <fill>
      <patternFill patternType="solid">
        <fgColor rgb="00EAECEE"/>
      </patternFill>
    </fill>
    <fill>
      <patternFill patternType="solid">
        <fgColor rgb="00D6EAF8"/>
      </patternFill>
    </fill>
    <fill>
      <patternFill patternType="solid">
        <fgColor rgb="00FEF9E7"/>
      </patternFill>
    </fill>
    <fill>
      <patternFill patternType="solid">
        <fgColor rgb="00E74C3C"/>
      </patternFill>
    </fill>
    <fill>
      <patternFill patternType="solid">
        <fgColor rgb="00F1948A"/>
      </patternFill>
    </fill>
    <fill>
      <patternFill patternType="solid">
        <fgColor rgb="00FAD7A0"/>
      </patternFill>
    </fill>
    <fill>
      <patternFill patternType="solid">
        <fgColor rgb="00AED6F1"/>
      </patternFill>
    </fill>
  </fills>
  <borders count="5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2" fillId="7" borderId="0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8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0" fillId="8" borderId="4" pivotButton="0" quotePrefix="0" xfId="0"/>
    <xf numFmtId="0" fontId="11" fillId="3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6" fillId="8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14" borderId="0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40" customHeight="1">
      <c r="A1" s="1" t="inlineStr">
        <is>
          <t>PROFIL INVESTISSEUR — SESSION DU 28 MARS 2026</t>
        </is>
      </c>
    </row>
    <row r="2" ht="20" customHeight="1">
      <c r="A2" s="2" t="inlineStr">
        <is>
          <t>BRVM · Bourse Régionale des Valeurs Mobilières · Zone UEMOA</t>
        </is>
      </c>
    </row>
    <row r="4">
      <c r="A4" s="3" t="inlineStr">
        <is>
          <t>INFORMATIONS GÉNÉRALES</t>
        </is>
      </c>
    </row>
    <row r="5" ht="22" customHeight="1">
      <c r="A5" s="4" t="inlineStr">
        <is>
          <t>Date de la session</t>
        </is>
      </c>
      <c r="B5" s="5" t="inlineStr">
        <is>
          <t>28 mars 2026</t>
        </is>
      </c>
      <c r="C5" s="6" t="inlineStr">
        <is>
          <t>Données live récupérées sur sikafinance.com</t>
        </is>
      </c>
    </row>
    <row r="6" ht="22" customHeight="1">
      <c r="A6" s="7" t="inlineStr">
        <is>
          <t>Profil investisseur</t>
        </is>
      </c>
      <c r="B6" s="8" t="inlineStr">
        <is>
          <t>Débutant</t>
        </is>
      </c>
      <c r="C6" s="9" t="inlineStr">
        <is>
          <t>Première expérience boursière</t>
        </is>
      </c>
    </row>
    <row r="7" ht="22" customHeight="1">
      <c r="A7" s="4" t="inlineStr">
        <is>
          <t>Capital disponible</t>
        </is>
      </c>
      <c r="B7" s="5" t="inlineStr">
        <is>
          <t>500 000 FCFA</t>
        </is>
      </c>
      <c r="C7" s="6" t="inlineStr">
        <is>
          <t>Montant confirmé pour investissement</t>
        </is>
      </c>
    </row>
    <row r="8" ht="22" customHeight="1">
      <c r="A8" s="7" t="inlineStr">
        <is>
          <t>Horizon minimum</t>
        </is>
      </c>
      <c r="B8" s="8" t="inlineStr">
        <is>
          <t>2 à 3 ans</t>
        </is>
      </c>
      <c r="C8" s="9" t="inlineStr">
        <is>
          <t>Ne pas toucher l'argent avant cette échéance</t>
        </is>
      </c>
    </row>
    <row r="9" ht="22" customHeight="1">
      <c r="A9" s="4" t="inlineStr">
        <is>
          <t>Stratégie retenue</t>
        </is>
      </c>
      <c r="B9" s="5" t="inlineStr">
        <is>
          <t>DCA (Achat progressif)</t>
        </is>
      </c>
      <c r="C9" s="6" t="inlineStr">
        <is>
          <t>2 tranches : 300K maintenant + 200K dans 6 semaines</t>
        </is>
      </c>
    </row>
    <row r="10" ht="22" customHeight="1">
      <c r="A10" s="7" t="inlineStr">
        <is>
          <t>Marché cible</t>
        </is>
      </c>
      <c r="B10" s="8" t="inlineStr">
        <is>
          <t>BRVM (Zone UEMOA)</t>
        </is>
      </c>
      <c r="C10" s="9" t="inlineStr">
        <is>
          <t>Bourse Régionale des Valeurs Mobilières</t>
        </is>
      </c>
    </row>
    <row r="11" ht="22" customHeight="1">
      <c r="A11" s="4" t="inlineStr">
        <is>
          <t>SGI choisie</t>
        </is>
      </c>
      <c r="B11" s="5" t="inlineStr">
        <is>
          <t>SG Capital Securities WA</t>
        </is>
      </c>
      <c r="C11" s="6" t="inlineStr">
        <is>
          <t>Meilleur rapport coût/sécurité pour un débutant</t>
        </is>
      </c>
    </row>
    <row r="12" ht="22" customHeight="1">
      <c r="A12" s="7" t="inlineStr">
        <is>
          <t>Dépôt minimum SGI</t>
        </is>
      </c>
      <c r="B12" s="8" t="inlineStr">
        <is>
          <t>0 FCFA</t>
        </is>
      </c>
      <c r="C12" s="9" t="inlineStr">
        <is>
          <t>Aucune barrière d'entrée</t>
        </is>
      </c>
    </row>
    <row r="13" ht="22" customHeight="1">
      <c r="A13" s="4" t="inlineStr">
        <is>
          <t>Courtage SGI</t>
        </is>
      </c>
      <c r="B13" s="5" t="inlineStr">
        <is>
          <t>0,80%</t>
        </is>
      </c>
      <c r="C13" s="6" t="inlineStr">
        <is>
          <t>Moins cher que Bridge (1%) et BOA (1%)</t>
        </is>
      </c>
    </row>
    <row r="14" ht="22" customHeight="1">
      <c r="A14" s="7" t="inlineStr">
        <is>
          <t>Conservation SGI</t>
        </is>
      </c>
      <c r="B14" s="8" t="inlineStr">
        <is>
          <t>0,25%/an</t>
        </is>
      </c>
      <c r="C14" s="9" t="inlineStr">
        <is>
          <t>Frais de détention annuels</t>
        </is>
      </c>
    </row>
    <row r="15" ht="22" customHeight="1">
      <c r="A15" s="4" t="inlineStr">
        <is>
          <t>Tenue de compte SGI</t>
        </is>
      </c>
      <c r="B15" s="5" t="inlineStr">
        <is>
          <t>2 500 FCFA/trimestre</t>
        </is>
      </c>
      <c r="C15" s="6">
        <f> 10 000 FCFA/an</f>
        <v/>
      </c>
    </row>
    <row r="16" ht="22" customHeight="1">
      <c r="A16" s="7" t="inlineStr">
        <is>
          <t>Backing SGI</t>
        </is>
      </c>
      <c r="B16" s="8" t="inlineStr">
        <is>
          <t>Société Générale France</t>
        </is>
      </c>
      <c r="C16" s="9" t="inlineStr">
        <is>
          <t>Top 10 banques européennes — risque dépositaire quasi nul</t>
        </is>
      </c>
    </row>
    <row r="18" ht="25" customHeight="1">
      <c r="A18" s="10" t="inlineStr">
        <is>
          <t>RÈGLES D'OR À NE JAMAIS OUBLIER</t>
        </is>
      </c>
    </row>
    <row r="19" ht="20" customHeight="1">
      <c r="A19" s="11" t="inlineStr">
        <is>
          <t>✅ Règle 1</t>
        </is>
      </c>
      <c r="B19" s="12" t="inlineStr">
        <is>
          <t>Ne jamais investir l'argent dont tu as besoin à court terme</t>
        </is>
      </c>
    </row>
    <row r="20" ht="20" customHeight="1">
      <c r="A20" s="11" t="inlineStr">
        <is>
          <t>✅ Règle 2</t>
        </is>
      </c>
      <c r="B20" s="12" t="inlineStr">
        <is>
          <t>Toujours garder 3 à 6 mois de dépenses en cash liquide (fonds d'urgence)</t>
        </is>
      </c>
    </row>
    <row r="21" ht="20" customHeight="1">
      <c r="A21" s="11" t="inlineStr">
        <is>
          <t>✅ Règle 3</t>
        </is>
      </c>
      <c r="B21" s="12" t="inlineStr">
        <is>
          <t>Ne pas regarder le portefeuille plus d'1 fois par mois</t>
        </is>
      </c>
    </row>
    <row r="22" ht="20" customHeight="1">
      <c r="A22" s="11" t="inlineStr">
        <is>
          <t>✅ Règle 4</t>
        </is>
      </c>
      <c r="B22" s="12" t="inlineStr">
        <is>
          <t>Ne jamais paniquer et vendre lors d'une correction de -10 à -15%</t>
        </is>
      </c>
    </row>
    <row r="23" ht="20" customHeight="1">
      <c r="A23" s="11" t="inlineStr">
        <is>
          <t>✅ Règle 5</t>
        </is>
      </c>
      <c r="B23" s="12" t="inlineStr">
        <is>
          <t>Réinvestir systématiquement les dividendes reçus</t>
        </is>
      </c>
    </row>
    <row r="24" ht="20" customHeight="1">
      <c r="A24" s="13" t="inlineStr">
        <is>
          <t>❌ Règle 6</t>
        </is>
      </c>
      <c r="B24" s="14" t="inlineStr">
        <is>
          <t>Ne jamais mettre plus de 500K FCFA avant 6 mois d'expérience</t>
        </is>
      </c>
    </row>
    <row r="25" ht="20" customHeight="1">
      <c r="A25" s="13" t="inlineStr">
        <is>
          <t>❌ Règle 7</t>
        </is>
      </c>
      <c r="B25" s="14" t="inlineStr">
        <is>
          <t>Ne jamais écouter les tuyaux de valeurs inconnues sans analyse</t>
        </is>
      </c>
    </row>
    <row r="26" ht="20" customHeight="1">
      <c r="A26" s="13" t="inlineStr">
        <is>
          <t>❌ Règle 8</t>
        </is>
      </c>
      <c r="B26" s="14" t="inlineStr">
        <is>
          <t>Ne jamais activer la gestion sous mandat (trop cher pour un débutant)</t>
        </is>
      </c>
    </row>
  </sheetData>
  <mergeCells count="24">
    <mergeCell ref="C8:F8"/>
    <mergeCell ref="B25:F25"/>
    <mergeCell ref="C7:F7"/>
    <mergeCell ref="A18:F18"/>
    <mergeCell ref="B22:F22"/>
    <mergeCell ref="C13:F13"/>
    <mergeCell ref="A2:F2"/>
    <mergeCell ref="B21:F21"/>
    <mergeCell ref="C6:F6"/>
    <mergeCell ref="C15:F15"/>
    <mergeCell ref="B23:F23"/>
    <mergeCell ref="A4:F4"/>
    <mergeCell ref="C5:F5"/>
    <mergeCell ref="C14:F14"/>
    <mergeCell ref="B19:F19"/>
    <mergeCell ref="C16:F16"/>
    <mergeCell ref="C10:F10"/>
    <mergeCell ref="C9:F9"/>
    <mergeCell ref="B24:F24"/>
    <mergeCell ref="B20:F20"/>
    <mergeCell ref="A1:F1"/>
    <mergeCell ref="C12:F12"/>
    <mergeCell ref="C11:F11"/>
    <mergeCell ref="B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6" customWidth="1" min="4" max="4"/>
    <col width="18" customWidth="1" min="5" max="5"/>
    <col width="20" customWidth="1" min="6" max="6"/>
    <col width="10" customWidth="1" min="7" max="7"/>
  </cols>
  <sheetData>
    <row r="1" ht="40" customHeight="1">
      <c r="A1" s="1" t="inlineStr">
        <is>
          <t>COMPARATIF DES 3 SGI — SOURCE: SIKAFINANCE.COM (28/03/2026)</t>
        </is>
      </c>
    </row>
    <row r="2">
      <c r="A2" s="15" t="inlineStr">
        <is>
          <t>Critère</t>
        </is>
      </c>
      <c r="B2" s="15" t="inlineStr">
        <is>
          <t>Bridge Securities</t>
        </is>
      </c>
      <c r="C2" s="15" t="inlineStr">
        <is>
          <t>BOA Capital Securities</t>
        </is>
      </c>
      <c r="D2" s="15" t="inlineStr">
        <is>
          <t>SG Capital Securities WA</t>
        </is>
      </c>
      <c r="E2" s="15" t="inlineStr">
        <is>
          <t>Meilleur</t>
        </is>
      </c>
      <c r="F2" s="15" t="inlineStr">
        <is>
          <t>Note</t>
        </is>
      </c>
      <c r="G2" s="16" t="n"/>
    </row>
    <row r="3" ht="22" customHeight="1">
      <c r="A3" s="4" t="inlineStr">
        <is>
          <t>Dépôt minimum</t>
        </is>
      </c>
      <c r="B3" s="17" t="inlineStr">
        <is>
          <t>250 000 FCFA</t>
        </is>
      </c>
      <c r="C3" s="18" t="inlineStr">
        <is>
          <t>1 000 000 FCFA</t>
        </is>
      </c>
      <c r="D3" s="19" t="inlineStr">
        <is>
          <t>0 FCFA</t>
        </is>
      </c>
      <c r="E3" s="20" t="inlineStr">
        <is>
          <t>SG Capital ✅</t>
        </is>
      </c>
      <c r="F3" s="6" t="inlineStr">
        <is>
          <t>BOA éliminé d'office avec 500K FCFA</t>
        </is>
      </c>
      <c r="G3" s="16" t="n"/>
    </row>
    <row r="4" ht="22" customHeight="1">
      <c r="A4" s="21" t="inlineStr">
        <is>
          <t>Frais de courtage</t>
        </is>
      </c>
      <c r="B4" s="17" t="inlineStr">
        <is>
          <t>1,00%</t>
        </is>
      </c>
      <c r="C4" s="18" t="inlineStr">
        <is>
          <t>1,00%</t>
        </is>
      </c>
      <c r="D4" s="19" t="inlineStr">
        <is>
          <t>0,80%</t>
        </is>
      </c>
      <c r="E4" s="20" t="inlineStr">
        <is>
          <t>SG Capital ✅</t>
        </is>
      </c>
      <c r="F4" s="9" t="inlineStr">
        <is>
          <t>Économie de 1 000 FCFA par 500K investi</t>
        </is>
      </c>
      <c r="G4" s="16" t="n"/>
    </row>
    <row r="5" ht="22" customHeight="1">
      <c r="A5" s="4" t="inlineStr">
        <is>
          <t>Conservation / an</t>
        </is>
      </c>
      <c r="B5" s="17" t="inlineStr">
        <is>
          <t>0,50%</t>
        </is>
      </c>
      <c r="C5" s="18" t="inlineStr">
        <is>
          <t>0,22 – 0,27%</t>
        </is>
      </c>
      <c r="D5" s="19" t="inlineStr">
        <is>
          <t>0,25 – 0,50%</t>
        </is>
      </c>
      <c r="E5" s="20" t="inlineStr">
        <is>
          <t>BOA Capital ✅</t>
        </is>
      </c>
      <c r="F5" s="6" t="inlineStr">
        <is>
          <t>BOA le meilleur mais inaccessible</t>
        </is>
      </c>
      <c r="G5" s="16" t="n"/>
    </row>
    <row r="6" ht="22" customHeight="1">
      <c r="A6" s="21" t="inlineStr">
        <is>
          <t>Tenue de compte</t>
        </is>
      </c>
      <c r="B6" s="17" t="inlineStr">
        <is>
          <t>2 500/trimestre</t>
        </is>
      </c>
      <c r="C6" s="18" t="inlineStr">
        <is>
          <t>0 FCFA</t>
        </is>
      </c>
      <c r="D6" s="19" t="inlineStr">
        <is>
          <t>2 500/trimestre</t>
        </is>
      </c>
      <c r="E6" s="20" t="inlineStr">
        <is>
          <t>BOA Capital ✅</t>
        </is>
      </c>
      <c r="F6" s="9" t="inlineStr">
        <is>
          <t>BOA gratuit mais min. 1 million requis</t>
        </is>
      </c>
      <c r="G6" s="16" t="n"/>
    </row>
    <row r="7" ht="22" customHeight="1">
      <c r="A7" s="4" t="inlineStr">
        <is>
          <t>Gestion sous mandat</t>
        </is>
      </c>
      <c r="B7" s="17" t="inlineStr">
        <is>
          <t>2,00%/an</t>
        </is>
      </c>
      <c r="C7" s="18" t="inlineStr">
        <is>
          <t>0%</t>
        </is>
      </c>
      <c r="D7" s="19" t="inlineStr">
        <is>
          <t>0%</t>
        </is>
      </c>
      <c r="E7" s="20" t="inlineStr">
        <is>
          <t>BOA / SG ✅</t>
        </is>
      </c>
      <c r="F7" s="6" t="inlineStr">
        <is>
          <t>Bridge : piège à éviter absolument</t>
        </is>
      </c>
      <c r="G7" s="16" t="n"/>
    </row>
    <row r="8" ht="22" customHeight="1">
      <c r="A8" s="21" t="inlineStr">
        <is>
          <t>Groupe bancaire</t>
        </is>
      </c>
      <c r="B8" s="17" t="inlineStr">
        <is>
          <t>Oragroup</t>
        </is>
      </c>
      <c r="C8" s="18" t="inlineStr">
        <is>
          <t>BMCE Bank Africa</t>
        </is>
      </c>
      <c r="D8" s="19" t="inlineStr">
        <is>
          <t>Société Générale</t>
        </is>
      </c>
      <c r="E8" s="20" t="inlineStr">
        <is>
          <t>SG Capital ✅</t>
        </is>
      </c>
      <c r="F8" s="9" t="inlineStr">
        <is>
          <t>SG France = top 10 banques mondiales</t>
        </is>
      </c>
      <c r="G8" s="16" t="n"/>
    </row>
    <row r="9" ht="22" customHeight="1">
      <c r="A9" s="4" t="inlineStr">
        <is>
          <t>Risque dépositaire</t>
        </is>
      </c>
      <c r="B9" s="17" t="inlineStr">
        <is>
          <t>Modéré</t>
        </is>
      </c>
      <c r="C9" s="18" t="inlineStr">
        <is>
          <t>Faible</t>
        </is>
      </c>
      <c r="D9" s="19" t="inlineStr">
        <is>
          <t>Très faible</t>
        </is>
      </c>
      <c r="E9" s="20" t="inlineStr">
        <is>
          <t>SG Capital ✅</t>
        </is>
      </c>
      <c r="F9" s="6" t="inlineStr">
        <is>
          <t>Priorité absolue pour un débutant</t>
        </is>
      </c>
      <c r="G9" s="16" t="n"/>
    </row>
    <row r="10" ht="22" customHeight="1">
      <c r="A10" s="21" t="inlineStr">
        <is>
          <t>Coût annuel réel*</t>
        </is>
      </c>
      <c r="B10" s="17" t="inlineStr">
        <is>
          <t>17 500 FCFA</t>
        </is>
      </c>
      <c r="C10" s="18" t="inlineStr">
        <is>
          <t>N/A (éliminé)</t>
        </is>
      </c>
      <c r="D10" s="19" t="inlineStr">
        <is>
          <t>15 250 FCFA</t>
        </is>
      </c>
      <c r="E10" s="20" t="inlineStr">
        <is>
          <t>SG Capital ✅</t>
        </is>
      </c>
      <c r="F10" s="9" t="inlineStr">
        <is>
          <t>*Sur 500K, 1 A/R par an, hors plus-values</t>
        </is>
      </c>
      <c r="G10" s="16" t="n"/>
    </row>
    <row r="11" ht="22" customHeight="1">
      <c r="A11" s="4" t="inlineStr">
        <is>
          <t>% du capital mangé</t>
        </is>
      </c>
      <c r="B11" s="17" t="inlineStr">
        <is>
          <t>3,50%</t>
        </is>
      </c>
      <c r="C11" s="18" t="inlineStr">
        <is>
          <t>N/A</t>
        </is>
      </c>
      <c r="D11" s="19" t="inlineStr">
        <is>
          <t>3,05%</t>
        </is>
      </c>
      <c r="E11" s="20" t="inlineStr">
        <is>
          <t>SG Capital ✅</t>
        </is>
      </c>
      <c r="F11" s="6" t="inlineStr">
        <is>
          <t>Économie nette de 2 250 FCFA/an</t>
        </is>
      </c>
      <c r="G11" s="16" t="n"/>
    </row>
    <row r="12" ht="22" customHeight="1">
      <c r="A12" s="22" t="inlineStr">
        <is>
          <t>VERDICT FINAL</t>
        </is>
      </c>
      <c r="B12" s="22" t="inlineStr">
        <is>
          <t>❌ À éviter</t>
        </is>
      </c>
      <c r="C12" s="22" t="inlineStr">
        <is>
          <t>❌ Inaccessible</t>
        </is>
      </c>
      <c r="D12" s="22" t="inlineStr">
        <is>
          <t>✅ CHOIX N°1</t>
        </is>
      </c>
      <c r="E12" s="22" t="inlineStr">
        <is>
          <t>SG Capital ✅</t>
        </is>
      </c>
      <c r="F12" s="23" t="inlineStr">
        <is>
          <t>Ouvrir compte chez SG Capital Securities</t>
        </is>
      </c>
      <c r="G12" s="24" t="n"/>
    </row>
  </sheetData>
  <mergeCells count="12">
    <mergeCell ref="F3:G3"/>
    <mergeCell ref="F4:G4"/>
    <mergeCell ref="F2:G2"/>
    <mergeCell ref="F11:G11"/>
    <mergeCell ref="F12:G12"/>
    <mergeCell ref="A1:G1"/>
    <mergeCell ref="F10:G10"/>
    <mergeCell ref="F5:G5"/>
    <mergeCell ref="F6:G6"/>
    <mergeCell ref="F9:G9"/>
    <mergeCell ref="F7:G7"/>
    <mergeCell ref="F8:G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12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</cols>
  <sheetData>
    <row r="1" ht="40" customHeight="1">
      <c r="A1" s="1" t="inlineStr">
        <is>
          <t>PORTEFEUILLE RECOMMANDÉ — CAPITAL : 500 000 FCFA</t>
        </is>
      </c>
    </row>
    <row r="2" ht="20" customHeight="1">
      <c r="A2" s="25" t="inlineStr">
        <is>
          <t>Stratégie DCA · Horizon 2-3 ans minimum · SGI : SG Capital Securities WA</t>
        </is>
      </c>
    </row>
    <row r="4">
      <c r="A4" s="26" t="inlineStr">
        <is>
          <t>Valeur</t>
        </is>
      </c>
      <c r="B4" s="26" t="inlineStr">
        <is>
          <t>Ticker</t>
        </is>
      </c>
      <c r="C4" s="26" t="inlineStr">
        <is>
          <t>Secteur</t>
        </is>
      </c>
      <c r="D4" s="26" t="inlineStr">
        <is>
          <t>Allocation %</t>
        </is>
      </c>
      <c r="E4" s="26" t="inlineStr">
        <is>
          <t>Montant FCFA</t>
        </is>
      </c>
      <c r="F4" s="26" t="inlineStr">
        <is>
          <t>Cours (28/03)</t>
        </is>
      </c>
      <c r="G4" s="26" t="inlineStr">
        <is>
          <t>Nb Actions</t>
        </is>
      </c>
      <c r="H4" s="26" t="inlineStr">
        <is>
          <t>Objectif 1 an</t>
        </is>
      </c>
      <c r="I4" s="26" t="inlineStr">
        <is>
          <t>Rendement cible</t>
        </is>
      </c>
    </row>
    <row r="5" ht="24" customHeight="1">
      <c r="A5" s="27" t="inlineStr">
        <is>
          <t>SONATEL</t>
        </is>
      </c>
      <c r="B5" s="19" t="inlineStr">
        <is>
          <t>SNTS.sn</t>
        </is>
      </c>
      <c r="C5" s="19" t="inlineStr">
        <is>
          <t>Télécom / Défensif</t>
        </is>
      </c>
      <c r="D5" s="20" t="inlineStr">
        <is>
          <t>40%</t>
        </is>
      </c>
      <c r="E5" s="28" t="inlineStr">
        <is>
          <t>200,000</t>
        </is>
      </c>
      <c r="F5" s="19" t="inlineStr">
        <is>
          <t>28,400</t>
        </is>
      </c>
      <c r="G5" s="19" t="inlineStr">
        <is>
          <t>~7 titres</t>
        </is>
      </c>
      <c r="H5" s="19" t="inlineStr">
        <is>
          <t>~31,808</t>
        </is>
      </c>
      <c r="I5" s="20" t="inlineStr">
        <is>
          <t>+9%</t>
        </is>
      </c>
    </row>
    <row r="6" ht="24" customHeight="1">
      <c r="A6" s="29" t="inlineStr">
        <is>
          <t>BOA CI</t>
        </is>
      </c>
      <c r="B6" s="30" t="inlineStr">
        <is>
          <t>BOAC.ci</t>
        </is>
      </c>
      <c r="C6" s="30" t="inlineStr">
        <is>
          <t>Banque / Croissance</t>
        </is>
      </c>
      <c r="D6" s="31" t="inlineStr">
        <is>
          <t>35%</t>
        </is>
      </c>
      <c r="E6" s="32" t="inlineStr">
        <is>
          <t>175,000</t>
        </is>
      </c>
      <c r="F6" s="30" t="inlineStr">
        <is>
          <t>8,700</t>
        </is>
      </c>
      <c r="G6" s="30" t="inlineStr">
        <is>
          <t>~20 titres</t>
        </is>
      </c>
      <c r="H6" s="30" t="inlineStr">
        <is>
          <t>~9,744</t>
        </is>
      </c>
      <c r="I6" s="31" t="inlineStr">
        <is>
          <t>+12%</t>
        </is>
      </c>
    </row>
    <row r="7" ht="24" customHeight="1">
      <c r="A7" s="33" t="inlineStr">
        <is>
          <t>TOTAL CI</t>
        </is>
      </c>
      <c r="B7" s="34" t="inlineStr">
        <is>
          <t>TTLC.ci</t>
        </is>
      </c>
      <c r="C7" s="34" t="inlineStr">
        <is>
          <t>Énergie / Rebond</t>
        </is>
      </c>
      <c r="D7" s="35" t="inlineStr">
        <is>
          <t>25%</t>
        </is>
      </c>
      <c r="E7" s="36" t="inlineStr">
        <is>
          <t>125,000</t>
        </is>
      </c>
      <c r="F7" s="34" t="inlineStr">
        <is>
          <t>2,975</t>
        </is>
      </c>
      <c r="G7" s="34" t="inlineStr">
        <is>
          <t>~42 titres</t>
        </is>
      </c>
      <c r="H7" s="34" t="inlineStr">
        <is>
          <t>~3,332</t>
        </is>
      </c>
      <c r="I7" s="35" t="inlineStr">
        <is>
          <t>+15%</t>
        </is>
      </c>
    </row>
    <row r="8" ht="26" customHeight="1">
      <c r="A8" s="26" t="inlineStr">
        <is>
          <t>TOTAL</t>
        </is>
      </c>
      <c r="B8" s="26" t="inlineStr"/>
      <c r="C8" s="26" t="inlineStr"/>
      <c r="D8" s="26" t="inlineStr">
        <is>
          <t>100%</t>
        </is>
      </c>
      <c r="E8" s="26" t="inlineStr">
        <is>
          <t>500 000</t>
        </is>
      </c>
      <c r="F8" s="26" t="inlineStr"/>
      <c r="G8" s="26" t="inlineStr"/>
      <c r="H8" s="26" t="inlineStr"/>
      <c r="I8" s="26" t="inlineStr"/>
    </row>
    <row r="10">
      <c r="A10" s="3" t="inlineStr">
        <is>
          <t>CALENDRIER DCA — PLAN D'EXÉCUTION</t>
        </is>
      </c>
    </row>
    <row r="11">
      <c r="A11" s="15" t="inlineStr">
        <is>
          <t>Tranche</t>
        </is>
      </c>
      <c r="B11" s="15" t="inlineStr">
        <is>
          <t>Date cible</t>
        </is>
      </c>
      <c r="C11" s="15" t="inlineStr">
        <is>
          <t>Montant</t>
        </is>
      </c>
      <c r="D11" s="15" t="inlineStr">
        <is>
          <t>Valeurs à acheter</t>
        </is>
      </c>
      <c r="E11" s="15" t="inlineStr">
        <is>
          <t>Montant par valeur</t>
        </is>
      </c>
      <c r="F11" s="15" t="inlineStr">
        <is>
          <t>Statut</t>
        </is>
      </c>
      <c r="G11" s="15" t="inlineStr">
        <is>
          <t>Notes</t>
        </is>
      </c>
    </row>
    <row r="12" ht="22" customHeight="1">
      <c r="A12" s="11" t="inlineStr">
        <is>
          <t>Tranche 1</t>
        </is>
      </c>
      <c r="B12" s="19" t="inlineStr">
        <is>
          <t>Semaine 1-2 (Avr. 2026)</t>
        </is>
      </c>
      <c r="C12" s="11" t="inlineStr">
        <is>
          <t>300 000 FCFA</t>
        </is>
      </c>
      <c r="D12" s="19" t="inlineStr">
        <is>
          <t>SONATEL + BOA CI</t>
        </is>
      </c>
      <c r="E12" s="19" t="inlineStr">
        <is>
          <t>200K + 100K</t>
        </is>
      </c>
      <c r="F12" s="11" t="inlineStr">
        <is>
          <t>⏳ À EXÉCUTER</t>
        </is>
      </c>
      <c r="G12" s="19" t="inlineStr">
        <is>
          <t>Ouvrir compte SG Capital en priorité</t>
        </is>
      </c>
    </row>
    <row r="13" ht="22" customHeight="1">
      <c r="A13" s="37" t="inlineStr">
        <is>
          <t>Tranche 2</t>
        </is>
      </c>
      <c r="B13" s="34" t="inlineStr">
        <is>
          <t>Semaine 6-8 (Mai 2026)</t>
        </is>
      </c>
      <c r="C13" s="37" t="inlineStr">
        <is>
          <t>200 000 FCFA</t>
        </is>
      </c>
      <c r="D13" s="34" t="inlineStr">
        <is>
          <t>TOTAL CI + complément BOA</t>
        </is>
      </c>
      <c r="E13" s="34" t="inlineStr">
        <is>
          <t>125K + 75K</t>
        </is>
      </c>
      <c r="F13" s="37" t="inlineStr">
        <is>
          <t>⏳ EN ATTENTE</t>
        </is>
      </c>
      <c r="G13" s="34" t="inlineStr">
        <is>
          <t>Après validation tranche 1</t>
        </is>
      </c>
    </row>
    <row r="16">
      <c r="A16" s="10" t="inlineStr">
        <is>
          <t>PROJECTION DE VALEUR — 500 000 FCFA INVESTI</t>
        </is>
      </c>
    </row>
    <row r="17">
      <c r="A17" s="38" t="inlineStr">
        <is>
          <t>Scénario</t>
        </is>
      </c>
      <c r="B17" s="38" t="inlineStr">
        <is>
          <t>Rend./an</t>
        </is>
      </c>
      <c r="C17" s="38" t="inlineStr">
        <is>
          <t>Fin 2026 (9 mois)</t>
        </is>
      </c>
      <c r="D17" s="38" t="inlineStr">
        <is>
          <t>An 1</t>
        </is>
      </c>
      <c r="E17" s="38" t="inlineStr">
        <is>
          <t>An 2</t>
        </is>
      </c>
      <c r="F17" s="38" t="inlineStr">
        <is>
          <t>An 3</t>
        </is>
      </c>
      <c r="G17" s="38" t="inlineStr">
        <is>
          <t>An 5</t>
        </is>
      </c>
      <c r="H17" s="38" t="inlineStr">
        <is>
          <t>Gain total</t>
        </is>
      </c>
      <c r="I17" s="38" t="inlineStr">
        <is>
          <t>x Capital</t>
        </is>
      </c>
    </row>
    <row r="18" ht="22" customHeight="1">
      <c r="A18" s="13" t="inlineStr">
        <is>
          <t>Pessimiste</t>
        </is>
      </c>
      <c r="B18" s="39" t="inlineStr">
        <is>
          <t>3%</t>
        </is>
      </c>
      <c r="C18" s="39" t="inlineStr">
        <is>
          <t>511 250</t>
        </is>
      </c>
      <c r="D18" s="39" t="inlineStr">
        <is>
          <t>515 000</t>
        </is>
      </c>
      <c r="E18" s="39" t="inlineStr">
        <is>
          <t>530 450</t>
        </is>
      </c>
      <c r="F18" s="39" t="inlineStr">
        <is>
          <t>546 364</t>
        </is>
      </c>
      <c r="G18" s="39" t="inlineStr">
        <is>
          <t>579 637</t>
        </is>
      </c>
      <c r="H18" s="13" t="inlineStr">
        <is>
          <t>+79 637</t>
        </is>
      </c>
      <c r="I18" s="13" t="inlineStr">
        <is>
          <t>1,16x</t>
        </is>
      </c>
    </row>
    <row r="19" ht="22" customHeight="1">
      <c r="A19" s="11" t="inlineStr">
        <is>
          <t>Réaliste</t>
        </is>
      </c>
      <c r="B19" s="19" t="inlineStr">
        <is>
          <t>9%</t>
        </is>
      </c>
      <c r="C19" s="19" t="inlineStr">
        <is>
          <t>533 750</t>
        </is>
      </c>
      <c r="D19" s="19" t="inlineStr">
        <is>
          <t>545 000</t>
        </is>
      </c>
      <c r="E19" s="19" t="inlineStr">
        <is>
          <t>594 050</t>
        </is>
      </c>
      <c r="F19" s="19" t="inlineStr">
        <is>
          <t>647 515</t>
        </is>
      </c>
      <c r="G19" s="19" t="inlineStr">
        <is>
          <t>769 312</t>
        </is>
      </c>
      <c r="H19" s="11" t="inlineStr">
        <is>
          <t>+269 312</t>
        </is>
      </c>
      <c r="I19" s="11" t="inlineStr">
        <is>
          <t>1,54x</t>
        </is>
      </c>
    </row>
    <row r="20" ht="22" customHeight="1">
      <c r="A20" s="40" t="inlineStr">
        <is>
          <t>Optimiste</t>
        </is>
      </c>
      <c r="B20" s="30" t="inlineStr">
        <is>
          <t>14%</t>
        </is>
      </c>
      <c r="C20" s="30" t="inlineStr">
        <is>
          <t>553 750</t>
        </is>
      </c>
      <c r="D20" s="30" t="inlineStr">
        <is>
          <t>570 000</t>
        </is>
      </c>
      <c r="E20" s="30" t="inlineStr">
        <is>
          <t>649 800</t>
        </is>
      </c>
      <c r="F20" s="30" t="inlineStr">
        <is>
          <t>740 772</t>
        </is>
      </c>
      <c r="G20" s="30" t="inlineStr">
        <is>
          <t>963 000</t>
        </is>
      </c>
      <c r="H20" s="40" t="inlineStr">
        <is>
          <t>+463 000</t>
        </is>
      </c>
      <c r="I20" s="40" t="inlineStr">
        <is>
          <t>1,93x</t>
        </is>
      </c>
    </row>
  </sheetData>
  <mergeCells count="4">
    <mergeCell ref="A1:I1"/>
    <mergeCell ref="A2:I2"/>
    <mergeCell ref="A16:I16"/>
    <mergeCell ref="A10:I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0" customWidth="1" min="4" max="4"/>
    <col width="8" customWidth="1" min="5" max="5"/>
    <col width="14" customWidth="1" min="6" max="6"/>
    <col width="12" customWidth="1" min="7" max="7"/>
    <col width="12" customWidth="1" min="8" max="8"/>
    <col width="12" customWidth="1" min="9" max="9"/>
    <col width="18" customWidth="1" min="10" max="10"/>
    <col width="26" customWidth="1" min="11" max="11"/>
  </cols>
  <sheetData>
    <row r="1" ht="40" customHeight="1">
      <c r="A1" s="1" t="inlineStr">
        <is>
          <t>DONNÉES MARCHÉ BRVM — LIVE AU 28 MARS 2026 · Source : sikafinance.com</t>
        </is>
      </c>
    </row>
    <row r="2">
      <c r="A2" s="26" t="inlineStr">
        <is>
          <t>Valeur</t>
        </is>
      </c>
      <c r="B2" s="26" t="inlineStr">
        <is>
          <t>Ticker</t>
        </is>
      </c>
      <c r="C2" s="26" t="inlineStr">
        <is>
          <t>Cours (FCFA)</t>
        </is>
      </c>
      <c r="D2" s="26" t="inlineStr">
        <is>
          <t>Beta 1 an</t>
        </is>
      </c>
      <c r="E2" s="26" t="inlineStr">
        <is>
          <t>RSI</t>
        </is>
      </c>
      <c r="F2" s="26" t="inlineStr">
        <is>
          <t>Var. 1 mois</t>
        </is>
      </c>
      <c r="G2" s="26" t="inlineStr">
        <is>
          <t>Var. YTD</t>
        </is>
      </c>
      <c r="H2" s="26" t="inlineStr">
        <is>
          <t>Var. 1 an</t>
        </is>
      </c>
      <c r="I2" s="26" t="inlineStr">
        <is>
          <t>Var. 5 ans</t>
        </is>
      </c>
      <c r="J2" s="26" t="inlineStr">
        <is>
          <t>Cap. (Mds FCFA)</t>
        </is>
      </c>
      <c r="K2" s="26" t="inlineStr">
        <is>
          <t>Signal</t>
        </is>
      </c>
    </row>
    <row r="3" ht="22" customHeight="1">
      <c r="A3" s="4" t="inlineStr">
        <is>
          <t>SONATEL</t>
        </is>
      </c>
      <c r="B3" s="41" t="inlineStr">
        <is>
          <t>SNTS.sn</t>
        </is>
      </c>
      <c r="C3" s="41" t="inlineStr">
        <is>
          <t>28,400</t>
        </is>
      </c>
      <c r="D3" s="41" t="inlineStr">
        <is>
          <t>0.83</t>
        </is>
      </c>
      <c r="E3" s="41" t="inlineStr">
        <is>
          <t>49.6</t>
        </is>
      </c>
      <c r="F3" s="42" t="inlineStr">
        <is>
          <t>-3.07%</t>
        </is>
      </c>
      <c r="G3" s="43" t="inlineStr">
        <is>
          <t>+8.73%</t>
        </is>
      </c>
      <c r="H3" s="43" t="inlineStr">
        <is>
          <t>+13.15%</t>
        </is>
      </c>
      <c r="I3" s="43" t="inlineStr">
        <is>
          <t>+128.11%</t>
        </is>
      </c>
      <c r="J3" s="41" t="inlineStr">
        <is>
          <t>2,840</t>
        </is>
      </c>
      <c r="K3" s="44" t="inlineStr">
        <is>
          <t>🟡 ACCUMULER</t>
        </is>
      </c>
    </row>
    <row r="4" ht="22" customHeight="1">
      <c r="A4" s="7" t="inlineStr">
        <is>
          <t>ORANGE CI</t>
        </is>
      </c>
      <c r="B4" s="45" t="inlineStr">
        <is>
          <t>ORAC.ci</t>
        </is>
      </c>
      <c r="C4" s="45" t="inlineStr">
        <is>
          <t>15,300</t>
        </is>
      </c>
      <c r="D4" s="45" t="inlineStr">
        <is>
          <t>1.08</t>
        </is>
      </c>
      <c r="E4" s="45" t="inlineStr">
        <is>
          <t>56.2</t>
        </is>
      </c>
      <c r="F4" s="46" t="inlineStr">
        <is>
          <t>-1.64%</t>
        </is>
      </c>
      <c r="G4" s="47" t="inlineStr">
        <is>
          <t>+7.37%</t>
        </is>
      </c>
      <c r="H4" s="47" t="inlineStr">
        <is>
          <t>+9.52%</t>
        </is>
      </c>
      <c r="I4" s="45" t="inlineStr">
        <is>
          <t>N/D</t>
        </is>
      </c>
      <c r="J4" s="45" t="inlineStr">
        <is>
          <t>2,305</t>
        </is>
      </c>
      <c r="K4" s="11" t="inlineStr">
        <is>
          <t>🟢 ACHAT (signal jour)</t>
        </is>
      </c>
    </row>
    <row r="5" ht="22" customHeight="1">
      <c r="A5" s="4" t="inlineStr">
        <is>
          <t>ECOBANK CI</t>
        </is>
      </c>
      <c r="B5" s="41" t="inlineStr">
        <is>
          <t>ECOC.ci</t>
        </is>
      </c>
      <c r="C5" s="41" t="inlineStr">
        <is>
          <t>16,500</t>
        </is>
      </c>
      <c r="D5" s="41" t="inlineStr">
        <is>
          <t>0.54</t>
        </is>
      </c>
      <c r="E5" s="41" t="inlineStr">
        <is>
          <t>49.0</t>
        </is>
      </c>
      <c r="F5" s="42" t="inlineStr">
        <is>
          <t>-2.94%</t>
        </is>
      </c>
      <c r="G5" s="43" t="inlineStr">
        <is>
          <t>+3.13%</t>
        </is>
      </c>
      <c r="H5" s="43" t="inlineStr">
        <is>
          <t>+66.67%</t>
        </is>
      </c>
      <c r="I5" s="43" t="inlineStr">
        <is>
          <t>+396.24%</t>
        </is>
      </c>
      <c r="J5" s="41" t="inlineStr">
        <is>
          <t>908</t>
        </is>
      </c>
      <c r="K5" s="44" t="inlineStr">
        <is>
          <t>🟡 ATTENDRE</t>
        </is>
      </c>
    </row>
    <row r="6" ht="22" customHeight="1">
      <c r="A6" s="7" t="inlineStr">
        <is>
          <t>BOA CI</t>
        </is>
      </c>
      <c r="B6" s="45" t="inlineStr">
        <is>
          <t>BOAC.ci</t>
        </is>
      </c>
      <c r="C6" s="45" t="inlineStr">
        <is>
          <t>8,700</t>
        </is>
      </c>
      <c r="D6" s="45" t="inlineStr">
        <is>
          <t>0.34</t>
        </is>
      </c>
      <c r="E6" s="45" t="inlineStr">
        <is>
          <t>60.5</t>
        </is>
      </c>
      <c r="F6" s="47" t="inlineStr">
        <is>
          <t>+10.13%</t>
        </is>
      </c>
      <c r="G6" s="47" t="inlineStr">
        <is>
          <t>+21.17%</t>
        </is>
      </c>
      <c r="H6" s="47" t="inlineStr">
        <is>
          <t>+42.39%</t>
        </is>
      </c>
      <c r="I6" s="47" t="inlineStr">
        <is>
          <t>+390.14%</t>
        </is>
      </c>
      <c r="J6" s="45" t="inlineStr">
        <is>
          <t>348</t>
        </is>
      </c>
      <c r="K6" s="11" t="inlineStr">
        <is>
          <t>🟢 ACHAT PRIORITÉ 1</t>
        </is>
      </c>
    </row>
    <row r="7" ht="22" customHeight="1">
      <c r="A7" s="4" t="inlineStr">
        <is>
          <t>SIB CI</t>
        </is>
      </c>
      <c r="B7" s="41" t="inlineStr">
        <is>
          <t>SIBC.ci</t>
        </is>
      </c>
      <c r="C7" s="41" t="inlineStr">
        <is>
          <t>7,050</t>
        </is>
      </c>
      <c r="D7" s="41" t="inlineStr">
        <is>
          <t>0.69</t>
        </is>
      </c>
      <c r="E7" s="41" t="inlineStr">
        <is>
          <t>59.1</t>
        </is>
      </c>
      <c r="F7" s="43" t="inlineStr">
        <is>
          <t>+1.81%</t>
        </is>
      </c>
      <c r="G7" s="43" t="inlineStr">
        <is>
          <t>+22.61%</t>
        </is>
      </c>
      <c r="H7" s="43" t="inlineStr">
        <is>
          <t>+57.72%</t>
        </is>
      </c>
      <c r="I7" s="43" t="inlineStr">
        <is>
          <t>+405.38%</t>
        </is>
      </c>
      <c r="J7" s="41" t="inlineStr">
        <is>
          <t>705</t>
        </is>
      </c>
      <c r="K7" s="11" t="inlineStr">
        <is>
          <t>🟢 ACHAT FORT</t>
        </is>
      </c>
    </row>
    <row r="8" ht="22" customHeight="1">
      <c r="A8" s="7" t="inlineStr">
        <is>
          <t>CORIS BANK</t>
        </is>
      </c>
      <c r="B8" s="45" t="inlineStr">
        <is>
          <t>CBIBF.bf</t>
        </is>
      </c>
      <c r="C8" s="45" t="inlineStr">
        <is>
          <t>13,790</t>
        </is>
      </c>
      <c r="D8" s="45" t="inlineStr">
        <is>
          <t>0.81</t>
        </is>
      </c>
      <c r="E8" s="45" t="inlineStr">
        <is>
          <t>62.4</t>
        </is>
      </c>
      <c r="F8" s="46" t="inlineStr">
        <is>
          <t>-1.85%</t>
        </is>
      </c>
      <c r="G8" s="47" t="inlineStr">
        <is>
          <t>+27.92%</t>
        </is>
      </c>
      <c r="H8" s="47" t="inlineStr">
        <is>
          <t>+28.28%</t>
        </is>
      </c>
      <c r="I8" s="47" t="inlineStr">
        <is>
          <t>+81.93%</t>
        </is>
      </c>
      <c r="J8" s="45" t="inlineStr">
        <is>
          <t>441</t>
        </is>
      </c>
      <c r="K8" s="44" t="inlineStr">
        <is>
          <t>🟡 RSI ÉLEVÉ – PRUDENCE</t>
        </is>
      </c>
    </row>
    <row r="9" ht="22" customHeight="1">
      <c r="A9" s="4" t="inlineStr">
        <is>
          <t>SG CI</t>
        </is>
      </c>
      <c r="B9" s="41" t="inlineStr">
        <is>
          <t>SGBC.ci</t>
        </is>
      </c>
      <c r="C9" s="41" t="inlineStr">
        <is>
          <t>35,000</t>
        </is>
      </c>
      <c r="D9" s="41" t="inlineStr">
        <is>
          <t>1.36</t>
        </is>
      </c>
      <c r="E9" s="41" t="inlineStr">
        <is>
          <t>53.9</t>
        </is>
      </c>
      <c r="F9" s="42" t="inlineStr">
        <is>
          <t>-6.54%</t>
        </is>
      </c>
      <c r="G9" s="43" t="inlineStr">
        <is>
          <t>+17.08%</t>
        </is>
      </c>
      <c r="H9" s="43" t="inlineStr">
        <is>
          <t>+60.18%</t>
        </is>
      </c>
      <c r="I9" s="43" t="inlineStr">
        <is>
          <t>+343.04%</t>
        </is>
      </c>
      <c r="J9" s="41" t="inlineStr">
        <is>
          <t>1,089</t>
        </is>
      </c>
      <c r="K9" s="13" t="inlineStr">
        <is>
          <t>🔴 ATTENDRE REBOND</t>
        </is>
      </c>
    </row>
    <row r="10" ht="22" customHeight="1">
      <c r="A10" s="7" t="inlineStr">
        <is>
          <t>TOTAL CI</t>
        </is>
      </c>
      <c r="B10" s="45" t="inlineStr">
        <is>
          <t>TTLC.ci</t>
        </is>
      </c>
      <c r="C10" s="45" t="inlineStr">
        <is>
          <t>2,975</t>
        </is>
      </c>
      <c r="D10" s="45" t="inlineStr">
        <is>
          <t>0.29</t>
        </is>
      </c>
      <c r="E10" s="45" t="inlineStr">
        <is>
          <t>60.5</t>
        </is>
      </c>
      <c r="F10" s="47" t="inlineStr">
        <is>
          <t>+6.25%</t>
        </is>
      </c>
      <c r="G10" s="47" t="inlineStr">
        <is>
          <t>+27.41%</t>
        </is>
      </c>
      <c r="H10" s="46" t="inlineStr">
        <is>
          <t>-14.88%</t>
        </is>
      </c>
      <c r="I10" s="47" t="inlineStr">
        <is>
          <t>+138.00%</t>
        </is>
      </c>
      <c r="J10" s="45" t="inlineStr">
        <is>
          <t>187</t>
        </is>
      </c>
      <c r="K10" s="11" t="inlineStr">
        <is>
          <t>🟢 REBOND EN COURS</t>
        </is>
      </c>
    </row>
    <row r="11" ht="22" customHeight="1">
      <c r="A11" s="4" t="inlineStr">
        <is>
          <t>NSIA BANQUE</t>
        </is>
      </c>
      <c r="B11" s="41" t="inlineStr">
        <is>
          <t>NSBC.ci</t>
        </is>
      </c>
      <c r="C11" s="41" t="inlineStr">
        <is>
          <t>14,145</t>
        </is>
      </c>
      <c r="D11" s="41" t="inlineStr">
        <is>
          <t>0.86</t>
        </is>
      </c>
      <c r="E11" s="41" t="inlineStr">
        <is>
          <t>55.9</t>
        </is>
      </c>
      <c r="F11" s="42" t="inlineStr">
        <is>
          <t>-3.78%</t>
        </is>
      </c>
      <c r="G11" s="43" t="inlineStr">
        <is>
          <t>+23.59%</t>
        </is>
      </c>
      <c r="H11" s="43" t="inlineStr">
        <is>
          <t>+67.40%</t>
        </is>
      </c>
      <c r="I11" s="43" t="inlineStr">
        <is>
          <t>+292.92%</t>
        </is>
      </c>
      <c r="J11" s="41" t="inlineStr">
        <is>
          <t>350</t>
        </is>
      </c>
      <c r="K11" s="44" t="inlineStr">
        <is>
          <t>🟡 SURVEILLER</t>
        </is>
      </c>
    </row>
    <row r="14">
      <c r="A14" s="48" t="inlineStr">
        <is>
          <t>LÉGENDE SIGNAUX :</t>
        </is>
      </c>
    </row>
    <row r="15">
      <c r="A15" s="49" t="inlineStr">
        <is>
          <t>🟢 ACHAT</t>
        </is>
      </c>
      <c r="B15" s="12" t="inlineStr">
        <is>
          <t>Signal positif — Momentum favorable, bon point d'entrée</t>
        </is>
      </c>
    </row>
    <row r="16">
      <c r="A16" s="50" t="inlineStr">
        <is>
          <t>🟡 SURVEILLER</t>
        </is>
      </c>
      <c r="B16" s="51" t="inlineStr">
        <is>
          <t>Neutre — Attendre confirmation avant d'acheter</t>
        </is>
      </c>
    </row>
    <row r="17">
      <c r="A17" s="52" t="inlineStr">
        <is>
          <t>🔴 ATTENDRE</t>
        </is>
      </c>
      <c r="B17" s="14" t="inlineStr">
        <is>
          <t>Signal négatif — Risque de correction, ne pas acheter maintenant</t>
        </is>
      </c>
    </row>
  </sheetData>
  <mergeCells count="4">
    <mergeCell ref="B15:K15"/>
    <mergeCell ref="A1:K1"/>
    <mergeCell ref="B17:K17"/>
    <mergeCell ref="B16:K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22" customWidth="1" min="4" max="4"/>
    <col width="20" customWidth="1" min="5" max="5"/>
    <col width="16" customWidth="1" min="6" max="6"/>
    <col width="16" customWidth="1" min="7" max="7"/>
    <col width="14" customWidth="1" min="8" max="8"/>
    <col width="18" customWidth="1" min="9" max="9"/>
    <col width="20" customWidth="1" min="10" max="10"/>
  </cols>
  <sheetData>
    <row r="1" ht="40" customHeight="1">
      <c r="A1" s="1" t="inlineStr">
        <is>
          <t>SUIVI MENSUEL &amp; SPÉCULATION — MISE À JOUR REQUISE CHAQUE MOIS</t>
        </is>
      </c>
    </row>
    <row r="3">
      <c r="A3" s="3" t="inlineStr">
        <is>
          <t>PRIX D'ENTRÉE, CIBLES ET STOP-LOSS</t>
        </is>
      </c>
    </row>
    <row r="4">
      <c r="A4" s="15" t="inlineStr">
        <is>
          <t>Valeur</t>
        </is>
      </c>
      <c r="B4" s="15" t="inlineStr">
        <is>
          <t>Prix entrée</t>
        </is>
      </c>
      <c r="C4" s="15" t="inlineStr">
        <is>
          <t>Stop-Loss (-15%)</t>
        </is>
      </c>
      <c r="D4" s="15" t="inlineStr">
        <is>
          <t>Cible CT (3 mois)</t>
        </is>
      </c>
      <c r="E4" s="15" t="inlineStr">
        <is>
          <t>Cible MT (12 mois)</t>
        </is>
      </c>
      <c r="F4" s="15" t="inlineStr">
        <is>
          <t>Dividende att.</t>
        </is>
      </c>
      <c r="G4" s="15" t="inlineStr">
        <is>
          <t>Catalyseurs</t>
        </is>
      </c>
      <c r="H4" s="15" t="inlineStr">
        <is>
          <t>Risques</t>
        </is>
      </c>
      <c r="I4" s="15" t="inlineStr">
        <is>
          <t>Statut</t>
        </is>
      </c>
      <c r="J4" s="15" t="inlineStr">
        <is>
          <t>Date MàJ</t>
        </is>
      </c>
    </row>
    <row r="5" ht="35" customHeight="1">
      <c r="A5" s="11" t="inlineStr">
        <is>
          <t>SONATEL</t>
        </is>
      </c>
      <c r="B5" s="19" t="n">
        <v>28400</v>
      </c>
      <c r="C5" s="19" t="inlineStr">
        <is>
          <t>~24,140</t>
        </is>
      </c>
      <c r="D5" s="19" t="inlineStr">
        <is>
          <t>~30,672</t>
        </is>
      </c>
      <c r="E5" s="19" t="inlineStr">
        <is>
          <t>~32,659</t>
        </is>
      </c>
      <c r="F5" s="19" t="inlineStr">
        <is>
          <t>~7%/an</t>
        </is>
      </c>
      <c r="G5" s="19" t="inlineStr">
        <is>
          <t>Résultats annuels, expansion fibre</t>
        </is>
      </c>
      <c r="H5" s="19" t="inlineStr">
        <is>
          <t>Concurrence Expresso, régulation</t>
        </is>
      </c>
      <c r="I5" s="19" t="inlineStr">
        <is>
          <t>⏳ À acheter</t>
        </is>
      </c>
      <c r="J5" s="19" t="inlineStr">
        <is>
          <t>28/03/2026</t>
        </is>
      </c>
    </row>
    <row r="6" ht="35" customHeight="1">
      <c r="A6" s="40" t="inlineStr">
        <is>
          <t>BOA CI</t>
        </is>
      </c>
      <c r="B6" s="30" t="n">
        <v>8700</v>
      </c>
      <c r="C6" s="30" t="inlineStr">
        <is>
          <t>~7,395</t>
        </is>
      </c>
      <c r="D6" s="30" t="inlineStr">
        <is>
          <t>~9,744</t>
        </is>
      </c>
      <c r="E6" s="30" t="inlineStr">
        <is>
          <t>~10,875</t>
        </is>
      </c>
      <c r="F6" s="30" t="inlineStr">
        <is>
          <t>~4-5%/an</t>
        </is>
      </c>
      <c r="G6" s="30" t="inlineStr">
        <is>
          <t>Momentum fort +10% mois, bénéfice record 2024</t>
        </is>
      </c>
      <c r="H6" s="30" t="inlineStr">
        <is>
          <t>Exposition créances douteuses</t>
        </is>
      </c>
      <c r="I6" s="30" t="inlineStr">
        <is>
          <t>⏳ À acheter</t>
        </is>
      </c>
      <c r="J6" s="30" t="inlineStr">
        <is>
          <t>28/03/2026</t>
        </is>
      </c>
    </row>
    <row r="7" ht="35" customHeight="1">
      <c r="A7" s="37" t="inlineStr">
        <is>
          <t>TOTAL CI</t>
        </is>
      </c>
      <c r="B7" s="34" t="n">
        <v>2975</v>
      </c>
      <c r="C7" s="34" t="inlineStr">
        <is>
          <t>~2,528</t>
        </is>
      </c>
      <c r="D7" s="34" t="inlineStr">
        <is>
          <t>~3,272</t>
        </is>
      </c>
      <c r="E7" s="34" t="inlineStr">
        <is>
          <t>~3,570</t>
        </is>
      </c>
      <c r="F7" s="34" t="inlineStr">
        <is>
          <t>~5-6%/an</t>
        </is>
      </c>
      <c r="G7" s="34" t="inlineStr">
        <is>
          <t>Rebond -14% sur 1 an, beta 0.29</t>
        </is>
      </c>
      <c r="H7" s="34" t="inlineStr">
        <is>
          <t>Prix pétrole, tension géopolitique</t>
        </is>
      </c>
      <c r="I7" s="34" t="inlineStr">
        <is>
          <t>⏳ À acheter</t>
        </is>
      </c>
      <c r="J7" s="34" t="inlineStr">
        <is>
          <t>28/03/2026</t>
        </is>
      </c>
    </row>
    <row r="10">
      <c r="A10" s="2" t="inlineStr">
        <is>
          <t>TABLEAU DE SUIVI MENSUEL — À REMPLIR CHAQUE MOIS</t>
        </is>
      </c>
    </row>
    <row r="11">
      <c r="A11" s="53" t="inlineStr">
        <is>
          <t>Mois</t>
        </is>
      </c>
      <c r="B11" s="53" t="inlineStr">
        <is>
          <t>Valeur</t>
        </is>
      </c>
      <c r="C11" s="53" t="inlineStr">
        <is>
          <t>Cours début</t>
        </is>
      </c>
      <c r="D11" s="53" t="inlineStr">
        <is>
          <t>Cours fin</t>
        </is>
      </c>
      <c r="E11" s="53" t="inlineStr">
        <is>
          <t>Variation %</t>
        </is>
      </c>
      <c r="F11" s="53" t="inlineStr">
        <is>
          <t>Dividende reçu</t>
        </is>
      </c>
      <c r="G11" s="53" t="inlineStr">
        <is>
          <t>Valeur portef.</t>
        </is>
      </c>
      <c r="H11" s="53" t="inlineStr">
        <is>
          <t>Gain/Perte</t>
        </is>
      </c>
      <c r="I11" s="53" t="inlineStr">
        <is>
          <t>Action prise</t>
        </is>
      </c>
      <c r="J11" s="53" t="inlineStr">
        <is>
          <t>Commentaire</t>
        </is>
      </c>
    </row>
    <row r="12" ht="20" customHeight="1">
      <c r="A12" s="4" t="inlineStr">
        <is>
          <t>Avril 2026</t>
        </is>
      </c>
      <c r="B12" s="41" t="inlineStr">
        <is>
          <t>SONATEL</t>
        </is>
      </c>
      <c r="C12" s="41" t="n"/>
      <c r="D12" s="41" t="n"/>
      <c r="E12" s="41">
        <f>SI(D12&lt;&gt;0,(D12-C12)/C12,"")</f>
        <v/>
      </c>
      <c r="F12" s="41" t="n"/>
      <c r="G12" s="41" t="n"/>
      <c r="H12" s="41" t="n"/>
      <c r="I12" s="41" t="n"/>
      <c r="J12" s="41" t="n"/>
    </row>
    <row r="13" ht="20" customHeight="1">
      <c r="A13" s="4" t="inlineStr"/>
      <c r="B13" s="41" t="inlineStr">
        <is>
          <t>BOA CI</t>
        </is>
      </c>
      <c r="C13" s="41" t="n"/>
      <c r="D13" s="41" t="n"/>
      <c r="E13" s="41" t="inlineStr"/>
      <c r="F13" s="41" t="n"/>
      <c r="G13" s="41" t="n"/>
      <c r="H13" s="41" t="n"/>
      <c r="I13" s="41" t="n"/>
      <c r="J13" s="41" t="n"/>
    </row>
    <row r="14" ht="20" customHeight="1">
      <c r="A14" s="4" t="inlineStr"/>
      <c r="B14" s="41" t="inlineStr">
        <is>
          <t>TOTAL CI</t>
        </is>
      </c>
      <c r="C14" s="41" t="n"/>
      <c r="D14" s="41" t="n"/>
      <c r="E14" s="41" t="inlineStr"/>
      <c r="F14" s="41" t="n"/>
      <c r="G14" s="41" t="n"/>
      <c r="H14" s="41" t="n"/>
      <c r="I14" s="41" t="n"/>
      <c r="J14" s="41" t="n"/>
    </row>
    <row r="15" ht="20" customHeight="1">
      <c r="A15" s="7" t="inlineStr">
        <is>
          <t>Mai 2026</t>
        </is>
      </c>
      <c r="B15" s="45" t="inlineStr">
        <is>
          <t>SONATEL</t>
        </is>
      </c>
      <c r="C15" s="45" t="n"/>
      <c r="D15" s="45" t="n"/>
      <c r="E15" s="45">
        <f>SI(D15&lt;&gt;0,(D15-C15)/C15,"")</f>
        <v/>
      </c>
      <c r="F15" s="45" t="n"/>
      <c r="G15" s="45" t="n"/>
      <c r="H15" s="45" t="n"/>
      <c r="I15" s="45" t="n"/>
      <c r="J15" s="45" t="n"/>
    </row>
    <row r="16" ht="20" customHeight="1">
      <c r="A16" s="7" t="inlineStr"/>
      <c r="B16" s="45" t="inlineStr">
        <is>
          <t>BOA CI</t>
        </is>
      </c>
      <c r="C16" s="45" t="n"/>
      <c r="D16" s="45" t="n"/>
      <c r="E16" s="45" t="inlineStr"/>
      <c r="F16" s="45" t="n"/>
      <c r="G16" s="45" t="n"/>
      <c r="H16" s="45" t="n"/>
      <c r="I16" s="45" t="n"/>
      <c r="J16" s="45" t="n"/>
    </row>
    <row r="17" ht="20" customHeight="1">
      <c r="A17" s="7" t="inlineStr"/>
      <c r="B17" s="45" t="inlineStr">
        <is>
          <t>TOTAL CI</t>
        </is>
      </c>
      <c r="C17" s="45" t="n"/>
      <c r="D17" s="45" t="n"/>
      <c r="E17" s="45" t="inlineStr"/>
      <c r="F17" s="45" t="n"/>
      <c r="G17" s="45" t="n"/>
      <c r="H17" s="45" t="n"/>
      <c r="I17" s="45" t="n"/>
      <c r="J17" s="45" t="n"/>
    </row>
    <row r="18" ht="20" customHeight="1">
      <c r="A18" s="4" t="inlineStr">
        <is>
          <t>Juin 2026</t>
        </is>
      </c>
      <c r="B18" s="41" t="inlineStr">
        <is>
          <t>SONATEL</t>
        </is>
      </c>
      <c r="C18" s="41" t="n"/>
      <c r="D18" s="41" t="n"/>
      <c r="E18" s="41">
        <f>SI(D18&lt;&gt;0,(D18-C18)/C18,"")</f>
        <v/>
      </c>
      <c r="F18" s="41" t="n"/>
      <c r="G18" s="41" t="n"/>
      <c r="H18" s="41" t="n"/>
      <c r="I18" s="41" t="n"/>
      <c r="J18" s="41" t="n"/>
    </row>
    <row r="19" ht="20" customHeight="1">
      <c r="A19" s="4" t="inlineStr"/>
      <c r="B19" s="41" t="inlineStr">
        <is>
          <t>BOA CI</t>
        </is>
      </c>
      <c r="C19" s="41" t="n"/>
      <c r="D19" s="41" t="n"/>
      <c r="E19" s="41" t="inlineStr"/>
      <c r="F19" s="41" t="n"/>
      <c r="G19" s="41" t="n"/>
      <c r="H19" s="41" t="n"/>
      <c r="I19" s="41" t="n"/>
      <c r="J19" s="41" t="n"/>
    </row>
    <row r="20" ht="20" customHeight="1">
      <c r="A20" s="4" t="inlineStr"/>
      <c r="B20" s="41" t="inlineStr">
        <is>
          <t>TOTAL CI</t>
        </is>
      </c>
      <c r="C20" s="41" t="n"/>
      <c r="D20" s="41" t="n"/>
      <c r="E20" s="41" t="inlineStr"/>
      <c r="F20" s="41" t="n"/>
      <c r="G20" s="41" t="n"/>
      <c r="H20" s="41" t="n"/>
      <c r="I20" s="41" t="n"/>
      <c r="J20" s="41" t="n"/>
    </row>
    <row r="21" ht="20" customHeight="1">
      <c r="A21" s="7" t="inlineStr">
        <is>
          <t>Juillet 2026</t>
        </is>
      </c>
      <c r="B21" s="45" t="inlineStr">
        <is>
          <t>SONATEL</t>
        </is>
      </c>
      <c r="C21" s="45" t="n"/>
      <c r="D21" s="45" t="n"/>
      <c r="E21" s="45">
        <f>SI(D21&lt;&gt;0,(D21-C21)/C21,"")</f>
        <v/>
      </c>
      <c r="F21" s="45" t="n"/>
      <c r="G21" s="45" t="n"/>
      <c r="H21" s="45" t="n"/>
      <c r="I21" s="45" t="n"/>
      <c r="J21" s="45" t="n"/>
    </row>
    <row r="22" ht="20" customHeight="1">
      <c r="A22" s="7" t="inlineStr"/>
      <c r="B22" s="45" t="inlineStr">
        <is>
          <t>BOA CI</t>
        </is>
      </c>
      <c r="C22" s="45" t="n"/>
      <c r="D22" s="45" t="n"/>
      <c r="E22" s="45" t="inlineStr"/>
      <c r="F22" s="45" t="n"/>
      <c r="G22" s="45" t="n"/>
      <c r="H22" s="45" t="n"/>
      <c r="I22" s="45" t="n"/>
      <c r="J22" s="45" t="n"/>
    </row>
    <row r="23" ht="20" customHeight="1">
      <c r="A23" s="7" t="inlineStr"/>
      <c r="B23" s="45" t="inlineStr">
        <is>
          <t>TOTAL CI</t>
        </is>
      </c>
      <c r="C23" s="45" t="n"/>
      <c r="D23" s="45" t="n"/>
      <c r="E23" s="45" t="inlineStr"/>
      <c r="F23" s="45" t="n"/>
      <c r="G23" s="45" t="n"/>
      <c r="H23" s="45" t="n"/>
      <c r="I23" s="45" t="n"/>
      <c r="J23" s="45" t="n"/>
    </row>
    <row r="24" ht="20" customHeight="1">
      <c r="A24" s="4" t="inlineStr">
        <is>
          <t>Août 2026</t>
        </is>
      </c>
      <c r="B24" s="41" t="inlineStr">
        <is>
          <t>SONATEL</t>
        </is>
      </c>
      <c r="C24" s="41" t="n"/>
      <c r="D24" s="41" t="n"/>
      <c r="E24" s="41">
        <f>SI(D24&lt;&gt;0,(D24-C24)/C24,"")</f>
        <v/>
      </c>
      <c r="F24" s="41" t="n"/>
      <c r="G24" s="41" t="n"/>
      <c r="H24" s="41" t="n"/>
      <c r="I24" s="41" t="n"/>
      <c r="J24" s="41" t="n"/>
    </row>
    <row r="25" ht="20" customHeight="1">
      <c r="A25" s="4" t="inlineStr"/>
      <c r="B25" s="41" t="inlineStr">
        <is>
          <t>BOA CI</t>
        </is>
      </c>
      <c r="C25" s="41" t="n"/>
      <c r="D25" s="41" t="n"/>
      <c r="E25" s="41" t="inlineStr"/>
      <c r="F25" s="41" t="n"/>
      <c r="G25" s="41" t="n"/>
      <c r="H25" s="41" t="n"/>
      <c r="I25" s="41" t="n"/>
      <c r="J25" s="41" t="n"/>
    </row>
    <row r="26" ht="20" customHeight="1">
      <c r="A26" s="4" t="inlineStr"/>
      <c r="B26" s="41" t="inlineStr">
        <is>
          <t>TOTAL CI</t>
        </is>
      </c>
      <c r="C26" s="41" t="n"/>
      <c r="D26" s="41" t="n"/>
      <c r="E26" s="41" t="inlineStr"/>
      <c r="F26" s="41" t="n"/>
      <c r="G26" s="41" t="n"/>
      <c r="H26" s="41" t="n"/>
      <c r="I26" s="41" t="n"/>
      <c r="J26" s="41" t="n"/>
    </row>
    <row r="27" ht="20" customHeight="1">
      <c r="A27" s="7" t="inlineStr">
        <is>
          <t>Septembre 2026</t>
        </is>
      </c>
      <c r="B27" s="45" t="inlineStr">
        <is>
          <t>SONATEL</t>
        </is>
      </c>
      <c r="C27" s="45" t="n"/>
      <c r="D27" s="45" t="n"/>
      <c r="E27" s="45">
        <f>SI(D27&lt;&gt;0,(D27-C27)/C27,"")</f>
        <v/>
      </c>
      <c r="F27" s="45" t="n"/>
      <c r="G27" s="45" t="n"/>
      <c r="H27" s="45" t="n"/>
      <c r="I27" s="45" t="n"/>
      <c r="J27" s="45" t="n"/>
    </row>
    <row r="28" ht="20" customHeight="1">
      <c r="A28" s="7" t="inlineStr"/>
      <c r="B28" s="45" t="inlineStr">
        <is>
          <t>BOA CI</t>
        </is>
      </c>
      <c r="C28" s="45" t="n"/>
      <c r="D28" s="45" t="n"/>
      <c r="E28" s="45" t="inlineStr"/>
      <c r="F28" s="45" t="n"/>
      <c r="G28" s="45" t="n"/>
      <c r="H28" s="45" t="n"/>
      <c r="I28" s="45" t="n"/>
      <c r="J28" s="45" t="n"/>
    </row>
    <row r="29" ht="20" customHeight="1">
      <c r="A29" s="7" t="inlineStr"/>
      <c r="B29" s="45" t="inlineStr">
        <is>
          <t>TOTAL CI</t>
        </is>
      </c>
      <c r="C29" s="45" t="n"/>
      <c r="D29" s="45" t="n"/>
      <c r="E29" s="45" t="inlineStr"/>
      <c r="F29" s="45" t="n"/>
      <c r="G29" s="45" t="n"/>
      <c r="H29" s="45" t="n"/>
      <c r="I29" s="45" t="n"/>
      <c r="J29" s="45" t="n"/>
    </row>
    <row r="30" ht="20" customHeight="1">
      <c r="A30" s="4" t="inlineStr">
        <is>
          <t>Oct. 2026</t>
        </is>
      </c>
      <c r="B30" s="41" t="inlineStr">
        <is>
          <t>SONATEL</t>
        </is>
      </c>
      <c r="C30" s="41" t="n"/>
      <c r="D30" s="41" t="n"/>
      <c r="E30" s="41">
        <f>SI(D30&lt;&gt;0,(D30-C30)/C30,"")</f>
        <v/>
      </c>
      <c r="F30" s="41" t="n"/>
      <c r="G30" s="41" t="n"/>
      <c r="H30" s="41" t="n"/>
      <c r="I30" s="41" t="n"/>
      <c r="J30" s="41" t="n"/>
    </row>
    <row r="31" ht="20" customHeight="1">
      <c r="A31" s="4" t="inlineStr"/>
      <c r="B31" s="41" t="inlineStr">
        <is>
          <t>BOA CI</t>
        </is>
      </c>
      <c r="C31" s="41" t="n"/>
      <c r="D31" s="41" t="n"/>
      <c r="E31" s="41" t="inlineStr"/>
      <c r="F31" s="41" t="n"/>
      <c r="G31" s="41" t="n"/>
      <c r="H31" s="41" t="n"/>
      <c r="I31" s="41" t="n"/>
      <c r="J31" s="41" t="n"/>
    </row>
    <row r="32" ht="20" customHeight="1">
      <c r="A32" s="4" t="inlineStr"/>
      <c r="B32" s="41" t="inlineStr">
        <is>
          <t>TOTAL CI</t>
        </is>
      </c>
      <c r="C32" s="41" t="n"/>
      <c r="D32" s="41" t="n"/>
      <c r="E32" s="41" t="inlineStr"/>
      <c r="F32" s="41" t="n"/>
      <c r="G32" s="41" t="n"/>
      <c r="H32" s="41" t="n"/>
      <c r="I32" s="41" t="n"/>
      <c r="J32" s="41" t="n"/>
    </row>
    <row r="33" ht="20" customHeight="1">
      <c r="A33" s="7" t="inlineStr">
        <is>
          <t>Nov. 2026</t>
        </is>
      </c>
      <c r="B33" s="45" t="inlineStr">
        <is>
          <t>SONATEL</t>
        </is>
      </c>
      <c r="C33" s="45" t="n"/>
      <c r="D33" s="45" t="n"/>
      <c r="E33" s="45">
        <f>SI(D33&lt;&gt;0,(D33-C33)/C33,"")</f>
        <v/>
      </c>
      <c r="F33" s="45" t="n"/>
      <c r="G33" s="45" t="n"/>
      <c r="H33" s="45" t="n"/>
      <c r="I33" s="45" t="n"/>
      <c r="J33" s="45" t="n"/>
    </row>
    <row r="34" ht="20" customHeight="1">
      <c r="A34" s="7" t="inlineStr"/>
      <c r="B34" s="45" t="inlineStr">
        <is>
          <t>BOA CI</t>
        </is>
      </c>
      <c r="C34" s="45" t="n"/>
      <c r="D34" s="45" t="n"/>
      <c r="E34" s="45" t="inlineStr"/>
      <c r="F34" s="45" t="n"/>
      <c r="G34" s="45" t="n"/>
      <c r="H34" s="45" t="n"/>
      <c r="I34" s="45" t="n"/>
      <c r="J34" s="45" t="n"/>
    </row>
    <row r="35" ht="20" customHeight="1">
      <c r="A35" s="7" t="inlineStr"/>
      <c r="B35" s="45" t="inlineStr">
        <is>
          <t>TOTAL CI</t>
        </is>
      </c>
      <c r="C35" s="45" t="n"/>
      <c r="D35" s="45" t="n"/>
      <c r="E35" s="45" t="inlineStr"/>
      <c r="F35" s="45" t="n"/>
      <c r="G35" s="45" t="n"/>
      <c r="H35" s="45" t="n"/>
      <c r="I35" s="45" t="n"/>
      <c r="J35" s="45" t="n"/>
    </row>
    <row r="36" ht="20" customHeight="1">
      <c r="A36" s="4" t="inlineStr">
        <is>
          <t>Déc. 2026</t>
        </is>
      </c>
      <c r="B36" s="41" t="inlineStr">
        <is>
          <t>SONATEL</t>
        </is>
      </c>
      <c r="C36" s="41" t="n"/>
      <c r="D36" s="41" t="n"/>
      <c r="E36" s="41">
        <f>SI(D36&lt;&gt;0,(D36-C36)/C36,"")</f>
        <v/>
      </c>
      <c r="F36" s="41" t="n"/>
      <c r="G36" s="41" t="n"/>
      <c r="H36" s="41" t="n"/>
      <c r="I36" s="41" t="n"/>
      <c r="J36" s="41" t="n"/>
    </row>
    <row r="37" ht="20" customHeight="1">
      <c r="A37" s="4" t="inlineStr"/>
      <c r="B37" s="41" t="inlineStr">
        <is>
          <t>BOA CI</t>
        </is>
      </c>
      <c r="C37" s="41" t="n"/>
      <c r="D37" s="41" t="n"/>
      <c r="E37" s="41" t="inlineStr"/>
      <c r="F37" s="41" t="n"/>
      <c r="G37" s="41" t="n"/>
      <c r="H37" s="41" t="n"/>
      <c r="I37" s="41" t="n"/>
      <c r="J37" s="41" t="n"/>
    </row>
    <row r="38" ht="20" customHeight="1">
      <c r="A38" s="4" t="inlineStr"/>
      <c r="B38" s="41" t="inlineStr">
        <is>
          <t>TOTAL CI</t>
        </is>
      </c>
      <c r="C38" s="41" t="n"/>
      <c r="D38" s="41" t="n"/>
      <c r="E38" s="41" t="inlineStr"/>
      <c r="F38" s="41" t="n"/>
      <c r="G38" s="41" t="n"/>
      <c r="H38" s="41" t="n"/>
      <c r="I38" s="41" t="n"/>
      <c r="J38" s="41" t="n"/>
    </row>
    <row r="41">
      <c r="A41" s="54" t="inlineStr">
        <is>
          <t>🚨 ALERTES &amp; SIGNAUX À SURVEILLER</t>
        </is>
      </c>
    </row>
    <row r="42">
      <c r="A42" s="55" t="inlineStr">
        <is>
          <t>Signal</t>
        </is>
      </c>
      <c r="B42" s="55" t="inlineStr">
        <is>
          <t>Valeur</t>
        </is>
      </c>
      <c r="C42" s="55" t="inlineStr">
        <is>
          <t>Condition déclenchante</t>
        </is>
      </c>
      <c r="D42" s="55" t="inlineStr">
        <is>
          <t>Action recommandée</t>
        </is>
      </c>
      <c r="E42" s="55" t="inlineStr">
        <is>
          <t>Priorité</t>
        </is>
      </c>
    </row>
    <row r="43" ht="22" customHeight="1">
      <c r="A43" s="11" t="inlineStr">
        <is>
          <t>🟢 ACHAT RENFORCÉ</t>
        </is>
      </c>
      <c r="B43" s="19" t="inlineStr">
        <is>
          <t>BOA CI</t>
        </is>
      </c>
      <c r="C43" s="19" t="inlineStr">
        <is>
          <t>Si cours &lt; 8 000 FCFA (correction -8%)</t>
        </is>
      </c>
      <c r="D43" s="19" t="inlineStr">
        <is>
          <t>Acheter 50 000 FCFA supplémentaires</t>
        </is>
      </c>
      <c r="E43" s="56" t="inlineStr">
        <is>
          <t>HAUTE</t>
        </is>
      </c>
    </row>
    <row r="44" ht="22" customHeight="1">
      <c r="A44" s="11" t="inlineStr">
        <is>
          <t>🟢 ACHAT RENFORCÉ</t>
        </is>
      </c>
      <c r="B44" s="19" t="inlineStr">
        <is>
          <t>TOTAL CI</t>
        </is>
      </c>
      <c r="C44" s="19" t="inlineStr">
        <is>
          <t>Si cours &lt; 2 700 FCFA (correction -9%)</t>
        </is>
      </c>
      <c r="D44" s="19" t="inlineStr">
        <is>
          <t>Ajouter position de 50 000 FCFA</t>
        </is>
      </c>
      <c r="E44" s="56" t="inlineStr">
        <is>
          <t>HAUTE</t>
        </is>
      </c>
    </row>
    <row r="45" ht="22" customHeight="1">
      <c r="A45" s="44" t="inlineStr">
        <is>
          <t>🟡 SURVEILLER</t>
        </is>
      </c>
      <c r="B45" s="57" t="inlineStr">
        <is>
          <t>SONATEL</t>
        </is>
      </c>
      <c r="C45" s="57" t="inlineStr">
        <is>
          <t>Si RSI &gt; 70 (surachat)</t>
        </is>
      </c>
      <c r="D45" s="57" t="inlineStr">
        <is>
          <t>Ne pas acheter, attendre repli</t>
        </is>
      </c>
      <c r="E45" s="58" t="inlineStr">
        <is>
          <t>MOYENNE</t>
        </is>
      </c>
    </row>
    <row r="46" ht="22" customHeight="1">
      <c r="A46" s="44" t="inlineStr">
        <is>
          <t>🟡 SURVEILLER</t>
        </is>
      </c>
      <c r="B46" s="57" t="inlineStr">
        <is>
          <t>CORIS BANK</t>
        </is>
      </c>
      <c r="C46" s="57" t="inlineStr">
        <is>
          <t>RSI déjà à 62, si &gt; 70</t>
        </is>
      </c>
      <c r="D46" s="57" t="inlineStr">
        <is>
          <t>Éviter, zone de surachat proche</t>
        </is>
      </c>
      <c r="E46" s="58" t="inlineStr">
        <is>
          <t>MOYENNE</t>
        </is>
      </c>
    </row>
    <row r="47" ht="22" customHeight="1">
      <c r="A47" s="13" t="inlineStr">
        <is>
          <t>🔴 STOP-LOSS</t>
        </is>
      </c>
      <c r="B47" s="39" t="inlineStr">
        <is>
          <t>SONATEL</t>
        </is>
      </c>
      <c r="C47" s="39" t="inlineStr">
        <is>
          <t>Si cours &lt; 24 140 FCFA (-15%)</t>
        </is>
      </c>
      <c r="D47" s="39" t="inlineStr">
        <is>
          <t>Vendre 50% de la position</t>
        </is>
      </c>
      <c r="E47" s="59" t="inlineStr">
        <is>
          <t>CRITIQUE</t>
        </is>
      </c>
    </row>
    <row r="48" ht="22" customHeight="1">
      <c r="A48" s="13" t="inlineStr">
        <is>
          <t>🔴 STOP-LOSS</t>
        </is>
      </c>
      <c r="B48" s="39" t="inlineStr">
        <is>
          <t>BOA CI</t>
        </is>
      </c>
      <c r="C48" s="39" t="inlineStr">
        <is>
          <t>Si cours &lt; 7 395 FCFA (-15%)</t>
        </is>
      </c>
      <c r="D48" s="39" t="inlineStr">
        <is>
          <t>Vendre 50% de la position</t>
        </is>
      </c>
      <c r="E48" s="59" t="inlineStr">
        <is>
          <t>CRITIQUE</t>
        </is>
      </c>
    </row>
    <row r="49" ht="22" customHeight="1">
      <c r="A49" s="13" t="inlineStr">
        <is>
          <t>🔴 STOP-LOSS</t>
        </is>
      </c>
      <c r="B49" s="39" t="inlineStr">
        <is>
          <t>TOTAL CI</t>
        </is>
      </c>
      <c r="C49" s="39" t="inlineStr">
        <is>
          <t>Si cours &lt; 2 529 FCFA (-15%)</t>
        </is>
      </c>
      <c r="D49" s="39" t="inlineStr">
        <is>
          <t>Vendre 50% de la position</t>
        </is>
      </c>
      <c r="E49" s="59" t="inlineStr">
        <is>
          <t>CRITIQUE</t>
        </is>
      </c>
    </row>
    <row r="50" ht="22" customHeight="1">
      <c r="A50" s="40" t="inlineStr">
        <is>
          <t>🔵 DIVIDENDES</t>
        </is>
      </c>
      <c r="B50" s="30" t="inlineStr">
        <is>
          <t>SONATEL</t>
        </is>
      </c>
      <c r="C50" s="30" t="inlineStr">
        <is>
          <t>Publication résultats annuels (avr-mai)</t>
        </is>
      </c>
      <c r="D50" s="30" t="inlineStr">
        <is>
          <t>Encaisser et réinvestir immédiatement</t>
        </is>
      </c>
      <c r="E50" s="60" t="inlineStr">
        <is>
          <t>NORMALE</t>
        </is>
      </c>
    </row>
    <row r="51" ht="22" customHeight="1">
      <c r="A51" s="40" t="inlineStr">
        <is>
          <t>🔵 DIVIDENDES</t>
        </is>
      </c>
      <c r="B51" s="30" t="inlineStr">
        <is>
          <t>TOTAL CI</t>
        </is>
      </c>
      <c r="C51" s="30" t="inlineStr">
        <is>
          <t>AG annuelle prévisible T2 2026</t>
        </is>
      </c>
      <c r="D51" s="30" t="inlineStr">
        <is>
          <t>Vérifier date détachement coupon</t>
        </is>
      </c>
      <c r="E51" s="60" t="inlineStr">
        <is>
          <t>NORMALE</t>
        </is>
      </c>
    </row>
  </sheetData>
  <mergeCells count="4">
    <mergeCell ref="A1:J1"/>
    <mergeCell ref="A41:J41"/>
    <mergeCell ref="A3:J3"/>
    <mergeCell ref="A10:J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30" customWidth="1" min="3" max="3"/>
    <col width="35" customWidth="1" min="4" max="4"/>
  </cols>
  <sheetData>
    <row r="1">
      <c r="A1" s="1" t="inlineStr">
        <is>
          <t>LEXIQUE DES TERMES FINANCIERS — MÉMO DÉBUTANT BRVM</t>
        </is>
      </c>
    </row>
    <row r="2" ht="30" customHeight="1">
      <c r="A2" s="26" t="inlineStr">
        <is>
          <t>TERME</t>
        </is>
      </c>
      <c r="B2" s="61" t="inlineStr">
        <is>
          <t>DÉFINITION</t>
        </is>
      </c>
      <c r="C2" s="61" t="inlineStr">
        <is>
          <t>EXEMPLE</t>
        </is>
      </c>
      <c r="D2" s="61" t="inlineStr">
        <is>
          <t>À RETENIR</t>
        </is>
      </c>
    </row>
    <row r="3" ht="30" customHeight="1">
      <c r="A3" s="7" t="inlineStr">
        <is>
          <t>SGI</t>
        </is>
      </c>
      <c r="B3" s="62" t="inlineStr">
        <is>
          <t>Société de Gestion et d'Intermédiation — ton courtier en bourse</t>
        </is>
      </c>
      <c r="C3" s="62" t="inlineStr">
        <is>
          <t>SG Capital Securities</t>
        </is>
      </c>
      <c r="D3" s="62" t="inlineStr">
        <is>
          <t>Ouvre ton compte ici avant tout</t>
        </is>
      </c>
    </row>
    <row r="4" ht="30" customHeight="1">
      <c r="A4" s="4" t="inlineStr">
        <is>
          <t>BRVM</t>
        </is>
      </c>
      <c r="B4" s="63" t="inlineStr">
        <is>
          <t>Bourse Régionale des Valeurs Mobilières — la bourse de l'Afrique de l'Ouest (8 pays UEMOA)</t>
        </is>
      </c>
      <c r="C4" s="63" t="inlineStr">
        <is>
          <t>Abidjan, CI</t>
        </is>
      </c>
      <c r="D4" s="63" t="inlineStr">
        <is>
          <t>Seule bourse de la zone franc</t>
        </is>
      </c>
    </row>
    <row r="5" ht="30" customHeight="1">
      <c r="A5" s="7" t="inlineStr">
        <is>
          <t>FCFA</t>
        </is>
      </c>
      <c r="B5" s="62" t="inlineStr">
        <is>
          <t>Franc CFA — monnaie arrimée à l'Euro. 1€ = 655,957 FCFA</t>
        </is>
      </c>
      <c r="C5" s="62" t="inlineStr">
        <is>
          <t>500 000 FCFA = ~762 €</t>
        </is>
      </c>
      <c r="D5" s="62" t="inlineStr">
        <is>
          <t>Stable, peu de risque de change</t>
        </is>
      </c>
    </row>
    <row r="6" ht="30" customHeight="1">
      <c r="A6" s="4" t="inlineStr">
        <is>
          <t>Courtage</t>
        </is>
      </c>
      <c r="B6" s="63" t="inlineStr">
        <is>
          <t>Commission prélevée par la SGI à chaque achat/vente</t>
        </is>
      </c>
      <c r="C6" s="63" t="inlineStr">
        <is>
          <t>1% = 5 000 FCFA sur 500K</t>
        </is>
      </c>
      <c r="D6" s="63" t="inlineStr">
        <is>
          <t>Minimise tes transactions</t>
        </is>
      </c>
    </row>
    <row r="7" ht="30" customHeight="1">
      <c r="A7" s="7" t="inlineStr">
        <is>
          <t>Conservation</t>
        </is>
      </c>
      <c r="B7" s="62" t="inlineStr">
        <is>
          <t>Frais annuels pour garder tes actions dans ton compte-titres</t>
        </is>
      </c>
      <c r="C7" s="62" t="inlineStr">
        <is>
          <t>0,25%/an = 1 250 FCFA/an</t>
        </is>
      </c>
      <c r="D7" s="62" t="inlineStr">
        <is>
          <t>Frais automatiques, inévitables</t>
        </is>
      </c>
    </row>
    <row r="8" ht="30" customHeight="1">
      <c r="A8" s="4" t="inlineStr">
        <is>
          <t>Beta</t>
        </is>
      </c>
      <c r="B8" s="63" t="inlineStr">
        <is>
          <t>Mesure la volatilité d'une action par rapport au marché. Beta &lt; 1 = moins volatile</t>
        </is>
      </c>
      <c r="C8" s="63" t="inlineStr">
        <is>
          <t>BOA CI : beta 0,34</t>
        </is>
      </c>
      <c r="D8" s="63" t="inlineStr">
        <is>
          <t>Préfère beta &lt; 1 pour commencer</t>
        </is>
      </c>
    </row>
    <row r="9" ht="30" customHeight="1">
      <c r="A9" s="7" t="inlineStr">
        <is>
          <t>RSI</t>
        </is>
      </c>
      <c r="B9" s="62" t="inlineStr">
        <is>
          <t>Relative Strength Index — indicateur 0-100. &gt;70 = suracheté, &lt;30 = survendu</t>
        </is>
      </c>
      <c r="C9" s="62" t="inlineStr">
        <is>
          <t>BOA CI RSI = 60,5</t>
        </is>
      </c>
      <c r="D9" s="62" t="inlineStr">
        <is>
          <t>N'achète pas si RSI &gt; 70</t>
        </is>
      </c>
    </row>
    <row r="10" ht="30" customHeight="1">
      <c r="A10" s="4" t="inlineStr">
        <is>
          <t>Dividende</t>
        </is>
      </c>
      <c r="B10" s="63" t="inlineStr">
        <is>
          <t>Part du bénéfice versée aux actionnaires, généralement 1x/an</t>
        </is>
      </c>
      <c r="C10" s="63" t="inlineStr">
        <is>
          <t>SONATEL ~7%/an</t>
        </is>
      </c>
      <c r="D10" s="63" t="inlineStr">
        <is>
          <t>Revenu passif = réinvestir</t>
        </is>
      </c>
    </row>
    <row r="11" ht="30" customHeight="1">
      <c r="A11" s="7" t="inlineStr">
        <is>
          <t>DCA</t>
        </is>
      </c>
      <c r="B11" s="62" t="inlineStr">
        <is>
          <t>Dollar Cost Averaging — investir en plusieurs fois pour lisser le prix d'entrée</t>
        </is>
      </c>
      <c r="C11" s="62" t="inlineStr">
        <is>
          <t>300K maintenant + 200K dans 6 sem.</t>
        </is>
      </c>
      <c r="D11" s="62" t="inlineStr">
        <is>
          <t>Stratégie recommandée pour débutant</t>
        </is>
      </c>
    </row>
    <row r="12" ht="30" customHeight="1">
      <c r="A12" s="4" t="inlineStr">
        <is>
          <t>Stop-Loss</t>
        </is>
      </c>
      <c r="B12" s="63" t="inlineStr">
        <is>
          <t>Seuil de perte déclencher une vente automatique pour limiter les pertes</t>
        </is>
      </c>
      <c r="C12" s="63" t="inlineStr">
        <is>
          <t>-15% du prix d'achat</t>
        </is>
      </c>
      <c r="D12" s="63" t="inlineStr">
        <is>
          <t>Discipline de fer à respecter</t>
        </is>
      </c>
    </row>
    <row r="13" ht="30" customHeight="1">
      <c r="A13" s="7" t="inlineStr">
        <is>
          <t>PER</t>
        </is>
      </c>
      <c r="B13" s="62" t="inlineStr">
        <is>
          <t>Price-to-Earnings Ratio — cours divisé par bénéfice. Mesure la cherté d'une action</t>
        </is>
      </c>
      <c r="C13" s="62" t="inlineStr">
        <is>
          <t>PER 10 = action à 10x ses bénéfices</t>
        </is>
      </c>
      <c r="D13" s="62" t="inlineStr">
        <is>
          <t>Plus c'est bas, plus c'est bon marché</t>
        </is>
      </c>
    </row>
    <row r="14" ht="30" customHeight="1">
      <c r="A14" s="4" t="inlineStr">
        <is>
          <t>Blue Chip</t>
        </is>
      </c>
      <c r="B14" s="63" t="inlineStr">
        <is>
          <t>Valeur de premier plan, grande capitalisation, stable et reconnue</t>
        </is>
      </c>
      <c r="C14" s="63" t="inlineStr">
        <is>
          <t>SONATEL, ECOBANK CI</t>
        </is>
      </c>
      <c r="D14" s="63" t="inlineStr">
        <is>
          <t>Idéal pour portefeuille débutant</t>
        </is>
      </c>
    </row>
    <row r="15" ht="30" customHeight="1">
      <c r="A15" s="7" t="inlineStr">
        <is>
          <t>Capitalisation</t>
        </is>
      </c>
      <c r="B15" s="62" t="inlineStr">
        <is>
          <t>Valeur totale d'une entreprise en bourse = cours × nb d'actions</t>
        </is>
      </c>
      <c r="C15" s="62" t="inlineStr">
        <is>
          <t>SONATEL : 2 840 Mds FCFA</t>
        </is>
      </c>
      <c r="D15" s="62" t="inlineStr">
        <is>
          <t>Grande cap = plus de sécurité</t>
        </is>
      </c>
    </row>
    <row r="16" ht="30" customHeight="1">
      <c r="A16" s="4" t="inlineStr">
        <is>
          <t>YTD</t>
        </is>
      </c>
      <c r="B16" s="63" t="inlineStr">
        <is>
          <t>Year-To-Date — performance depuis le 1er janvier de l'année en cours</t>
        </is>
      </c>
      <c r="C16" s="63" t="inlineStr">
        <is>
          <t>BOA CI YTD = +21,17%</t>
        </is>
      </c>
      <c r="D16" s="63" t="inlineStr">
        <is>
          <t>Compare les perfs depuis janvier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2026-03-28T18:22:08Z</dcterms:created>
  <dcterms:modified xsi:type="dcterms:W3CDTF">2026-03-28T18:22:08Z</dcterms:modified>
</cp:coreProperties>
</file>